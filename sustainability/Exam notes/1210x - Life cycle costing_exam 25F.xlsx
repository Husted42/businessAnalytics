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_rels/workbook.xml.rels" ContentType="application/vnd.openxmlformats-package.relationships+xml"/>
  <Override PartName="/xl/media/image1.png" ContentType="image/p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Gasoline and electric vehicles" sheetId="1" state="hidden" r:id="rId3"/>
    <sheet name="Life Cycle Costing petrol vs el" sheetId="2" state="visible" r:id="rId4"/>
    <sheet name="Processes" sheetId="3" state="visible" r:id="rId5"/>
    <sheet name="Midpoint results" sheetId="4" state="hidden" r:id="rId6"/>
    <sheet name="Input for Students" sheetId="5" state="hidden"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69" authorId="0">
      <text>
        <r>
          <rPr>
            <sz val="10"/>
            <rFont val="Arial"/>
            <family val="2"/>
          </rPr>
          <t xml:space="preserve">Neil:
</t>
        </r>
        <r>
          <rPr>
            <sz val="9"/>
            <color rgb="FF000000"/>
            <rFont val="Tahoma"/>
            <family val="2"/>
            <charset val="1"/>
          </rPr>
          <t xml:space="preserve">These do not add up to the exact manufacturing amounts, but are kept consistent for comparison. </t>
        </r>
      </text>
    </comment>
    <comment ref="A75" authorId="0">
      <text>
        <r>
          <rPr>
            <sz val="10"/>
            <rFont val="Arial"/>
            <family val="2"/>
          </rPr>
          <t xml:space="preserve">Neil:
</t>
        </r>
        <r>
          <rPr>
            <sz val="9"/>
            <color rgb="FF000000"/>
            <rFont val="Tahoma"/>
            <family val="2"/>
            <charset val="1"/>
          </rPr>
          <t xml:space="preserve">Sensitibity Analyses with sustainable sources of energy</t>
        </r>
      </text>
    </comment>
    <comment ref="B45" authorId="0">
      <text>
        <r>
          <rPr>
            <sz val="10"/>
            <rFont val="Arial"/>
            <family val="2"/>
          </rPr>
          <t xml:space="preserve">Neil:
</t>
        </r>
        <r>
          <rPr>
            <sz val="9"/>
            <color rgb="FF000000"/>
            <rFont val="Tahoma"/>
            <family val="2"/>
            <charset val="1"/>
          </rPr>
          <t xml:space="preserve">Steel + small amount of iron scrap</t>
        </r>
      </text>
    </comment>
    <comment ref="B84" authorId="0">
      <text>
        <r>
          <rPr>
            <sz val="10"/>
            <rFont val="Arial"/>
            <family val="2"/>
          </rPr>
          <t xml:space="preserve">Neil:
</t>
        </r>
        <r>
          <rPr>
            <sz val="9"/>
            <color rgb="FF000000"/>
            <rFont val="Tahoma"/>
            <family val="2"/>
            <charset val="1"/>
          </rPr>
          <t xml:space="preserve">Steel + small amount of iron scrap</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30" authorId="0">
      <text>
        <r>
          <rPr>
            <sz val="10"/>
            <rFont val="Arial"/>
            <family val="2"/>
          </rPr>
          <t xml:space="preserve">Neil:
</t>
        </r>
        <r>
          <rPr>
            <sz val="18"/>
            <color rgb="FF000000"/>
            <rFont val="Tahoma"/>
            <family val="2"/>
            <charset val="1"/>
          </rPr>
          <t xml:space="preserve">*Note: Directly use these amounts adapted from Ecovinent. For comparison, we assume the same weight and distances divided by a different lifespan. The exact numbers calculated would be different for transportation. </t>
        </r>
      </text>
    </comment>
    <comment ref="A34" authorId="0">
      <text>
        <r>
          <rPr>
            <sz val="10"/>
            <rFont val="Arial"/>
            <family val="2"/>
          </rPr>
          <t xml:space="preserve">Neil:
</t>
        </r>
        <r>
          <rPr>
            <sz val="16"/>
            <color rgb="FF000000"/>
            <rFont val="Tahoma"/>
            <family val="2"/>
            <charset val="1"/>
          </rPr>
          <t xml:space="preserve">*Note: Directly use these amounts adapted from Ecovinent. </t>
        </r>
      </text>
    </comment>
    <comment ref="A60" authorId="0">
      <text>
        <r>
          <rPr>
            <sz val="10"/>
            <rFont val="Arial"/>
            <family val="2"/>
          </rPr>
          <t xml:space="preserve">Neil:
</t>
        </r>
        <r>
          <rPr>
            <sz val="18"/>
            <color rgb="FF000000"/>
            <rFont val="Tahoma"/>
            <family val="2"/>
            <charset val="1"/>
          </rPr>
          <t xml:space="preserve">*Note: Directly use these amounts adapted from Ecovinent. For comparison, we assume the same weight and distances divided by a different lifespan. The exact numbers calculated would be different for transportation. </t>
        </r>
      </text>
    </comment>
    <comment ref="A64" authorId="0">
      <text>
        <r>
          <rPr>
            <sz val="10"/>
            <rFont val="Arial"/>
            <family val="2"/>
          </rPr>
          <t xml:space="preserve">Neil:
</t>
        </r>
        <r>
          <rPr>
            <sz val="16"/>
            <color rgb="FF000000"/>
            <rFont val="Tahoma"/>
            <family val="2"/>
            <charset val="1"/>
          </rPr>
          <t xml:space="preserve">*Note: Directly use these amounts adapted from Ecovinent. </t>
        </r>
      </text>
    </comment>
    <comment ref="A67" authorId="0">
      <text>
        <r>
          <rPr>
            <sz val="10"/>
            <rFont val="Arial"/>
            <family val="2"/>
          </rPr>
          <t xml:space="preserve">Neil:
</t>
        </r>
        <r>
          <rPr>
            <sz val="9"/>
            <color rgb="FF000000"/>
            <rFont val="Tahoma"/>
            <family val="2"/>
            <charset val="1"/>
          </rPr>
          <t xml:space="preserve">Sensitibity Analyses with sustainable sources of energy</t>
        </r>
      </text>
    </comment>
    <comment ref="B31" authorId="0">
      <text>
        <r>
          <rPr>
            <sz val="10"/>
            <rFont val="Arial"/>
            <family val="2"/>
          </rPr>
          <t xml:space="preserve">Neil:
</t>
        </r>
        <r>
          <rPr>
            <sz val="9"/>
            <color rgb="FF000000"/>
            <rFont val="Tahoma"/>
            <family val="2"/>
            <charset val="1"/>
          </rPr>
          <t xml:space="preserve">These do not add up to the exact manufacturing amounts, but are kept consistent for comparison. </t>
        </r>
      </text>
    </comment>
    <comment ref="B61" authorId="0">
      <text>
        <r>
          <rPr>
            <sz val="10"/>
            <rFont val="Arial"/>
            <family val="2"/>
          </rPr>
          <t xml:space="preserve">Neil:
</t>
        </r>
        <r>
          <rPr>
            <sz val="9"/>
            <color rgb="FF000000"/>
            <rFont val="Tahoma"/>
            <family val="2"/>
            <charset val="1"/>
          </rPr>
          <t xml:space="preserve">These do not add up to the exact manufacturing amounts, but are kept consistent for comparison. </t>
        </r>
      </text>
    </comment>
    <comment ref="B71" authorId="0">
      <text>
        <r>
          <rPr>
            <sz val="10"/>
            <rFont val="Arial"/>
            <family val="2"/>
          </rPr>
          <t xml:space="preserve">Neil:
</t>
        </r>
        <r>
          <rPr>
            <sz val="9"/>
            <color rgb="FF000000"/>
            <rFont val="Tahoma"/>
            <family val="2"/>
            <charset val="1"/>
          </rPr>
          <t xml:space="preserve">Steel + small amount of iron scrap</t>
        </r>
      </text>
    </comment>
  </commentList>
</comments>
</file>

<file path=xl/sharedStrings.xml><?xml version="1.0" encoding="utf-8"?>
<sst xmlns="http://schemas.openxmlformats.org/spreadsheetml/2006/main" count="906" uniqueCount="329">
  <si>
    <t xml:space="preserve">kg/t conversion factor</t>
  </si>
  <si>
    <t xml:space="preserve">g/kg</t>
  </si>
  <si>
    <t xml:space="preserve">Gas Vehicle spreadsheet calculations</t>
  </si>
  <si>
    <t xml:space="preserve">Gas Vehicle Open LCA</t>
  </si>
  <si>
    <t xml:space="preserve">Electric Vehicle spreadsheet calculations</t>
  </si>
  <si>
    <t xml:space="preserve">Electric Vehicle Open LCA</t>
  </si>
  <si>
    <t xml:space="preserve">Electric Vehicle - Wind  spreadsheet calculations</t>
  </si>
  <si>
    <t xml:space="preserve">Electric Vehicle-Wind Open LCA</t>
  </si>
  <si>
    <t xml:space="preserve">Electric Vehicle - Photovoltaic  spreadsheet calculations</t>
  </si>
  <si>
    <t xml:space="preserve">Electric Vehicle  - Photovoltaic Open LCA</t>
  </si>
  <si>
    <t xml:space="preserve">Electric Vehicle - Hard coal  spreadsheet calculations</t>
  </si>
  <si>
    <t xml:space="preserve">GHG CO2equ.
 kgCO2equ over lifetime</t>
  </si>
  <si>
    <t xml:space="preserve">Cumulative graph</t>
  </si>
  <si>
    <t xml:space="preserve">GHG CO2equ.
 kgCO2equ/FU</t>
  </si>
  <si>
    <t xml:space="preserve">Graph per FU</t>
  </si>
  <si>
    <t xml:space="preserve">Vehicle lifespan (km/vehicle)</t>
  </si>
  <si>
    <t xml:space="preserve">Lifetime distance km</t>
  </si>
  <si>
    <t xml:space="preserve">Transportation by Gas Vehicle
FU= 1 vehicle km
Life Cycle stage  (150,000 km lifespan)</t>
  </si>
  <si>
    <t xml:space="preserve">Quantity original unit</t>
  </si>
  <si>
    <t xml:space="preserve">Quantity per FU</t>
  </si>
  <si>
    <t xml:space="preserve">Unit</t>
  </si>
  <si>
    <t xml:space="preserve">Energy/Unit  [MJ/Unit]</t>
  </si>
  <si>
    <t xml:space="preserve">Energy per FU [MJ/FU]</t>
  </si>
  <si>
    <t xml:space="preserve">fraction</t>
  </si>
  <si>
    <t xml:space="preserve">CO2/Unit [kg/unit]</t>
  </si>
  <si>
    <t xml:space="preserve">CO2 fossil/FU</t>
  </si>
  <si>
    <t xml:space="preserve">fraction2</t>
  </si>
  <si>
    <t xml:space="preserve">Check g CO2/MJ</t>
  </si>
  <si>
    <t xml:space="preserve">CO2equ/Unit [kg/unit]2</t>
  </si>
  <si>
    <t xml:space="preserve">CO2equ./FU</t>
  </si>
  <si>
    <t xml:space="preserve">fraction3</t>
  </si>
  <si>
    <t xml:space="preserve">Energy
MJ/FU</t>
  </si>
  <si>
    <t xml:space="preserve">Gas Vehicle</t>
  </si>
  <si>
    <t xml:space="preserve">Electric Vehicle</t>
  </si>
  <si>
    <t xml:space="preserve">Electric Vehicle - Wind</t>
  </si>
  <si>
    <t xml:space="preserve">Electric Vehicle - Photovoltaic</t>
  </si>
  <si>
    <t xml:space="preserve">Electric Vehicle - 
hard coal</t>
  </si>
  <si>
    <t xml:space="preserve">Fossil CO2
 kgCO2/FU</t>
  </si>
  <si>
    <t xml:space="preserve">Electric Vehicle - EU mix</t>
  </si>
  <si>
    <t xml:space="preserve">Distance over Lifetime</t>
  </si>
  <si>
    <t xml:space="preserve">Electric Vehicle - Hard coal</t>
  </si>
  <si>
    <t xml:space="preserve">Manufacturing (Materials + Processing)</t>
  </si>
  <si>
    <t xml:space="preserve">per vehicle over lifespan</t>
  </si>
  <si>
    <t xml:space="preserve">per FU</t>
  </si>
  <si>
    <t xml:space="preserve">Car manufacturing</t>
  </si>
  <si>
    <t xml:space="preserve">alkyd paint, white, without solvent, in 60% solution state</t>
  </si>
  <si>
    <t xml:space="preserve">kg</t>
  </si>
  <si>
    <t xml:space="preserve">Car transportation</t>
  </si>
  <si>
    <t xml:space="preserve">aluminium, primary, ingot</t>
  </si>
  <si>
    <t xml:space="preserve">Car disposal</t>
  </si>
  <si>
    <t xml:space="preserve">chromium oxide, flakes</t>
  </si>
  <si>
    <t xml:space="preserve">Petrol gas </t>
  </si>
  <si>
    <t xml:space="preserve">sheet rolling, copper</t>
  </si>
  <si>
    <t xml:space="preserve">Electric charging - RER</t>
  </si>
  <si>
    <t xml:space="preserve">electronics, for control units</t>
  </si>
  <si>
    <t xml:space="preserve">Electric charging - wind</t>
  </si>
  <si>
    <t xml:space="preserve">ethylene</t>
  </si>
  <si>
    <t xml:space="preserve">Electric charging - photovoltaic</t>
  </si>
  <si>
    <t xml:space="preserve">ethylene glycol</t>
  </si>
  <si>
    <t xml:space="preserve">Electric charging - hard coal</t>
  </si>
  <si>
    <t xml:space="preserve">flat glass, uncoated</t>
  </si>
  <si>
    <t xml:space="preserve">Net value</t>
  </si>
  <si>
    <t xml:space="preserve">heat, district or industrial, natural gas</t>
  </si>
  <si>
    <t xml:space="preserve">MJ</t>
  </si>
  <si>
    <t xml:space="preserve">Climate change, short term - Open LCA</t>
  </si>
  <si>
    <t xml:space="preserve">lead</t>
  </si>
  <si>
    <t xml:space="preserve">from open LCA in kgCO2equ short per FU</t>
  </si>
  <si>
    <t xml:space="preserve">Light fuel oil, burned in furnace 1MW of greenhouse/MJ - RER</t>
  </si>
  <si>
    <t xml:space="preserve">nickel, class 1</t>
  </si>
  <si>
    <t xml:space="preserve">polyethylene, high density, granulate</t>
  </si>
  <si>
    <t xml:space="preserve">polypropylene, granulate</t>
  </si>
  <si>
    <t xml:space="preserve">polyvinylchloride, suspension polymerised</t>
  </si>
  <si>
    <t xml:space="preserve">section bar rolling, steel</t>
  </si>
  <si>
    <t xml:space="preserve">sheet rolling, steel</t>
  </si>
  <si>
    <t xml:space="preserve">steel, low-alloyed, hot rolled</t>
  </si>
  <si>
    <t xml:space="preserve">platinum for catalytic converter</t>
  </si>
  <si>
    <t xml:space="preserve">paladium for catalytic converter</t>
  </si>
  <si>
    <t xml:space="preserve">sulfuric acid</t>
  </si>
  <si>
    <t xml:space="preserve">synthetic rubber</t>
  </si>
  <si>
    <t xml:space="preserve">tap water</t>
  </si>
  <si>
    <t xml:space="preserve">zinc</t>
  </si>
  <si>
    <t xml:space="preserve">electricity, medium voltage</t>
  </si>
  <si>
    <t xml:space="preserve">kWh</t>
  </si>
  <si>
    <t xml:space="preserve">Transportation</t>
  </si>
  <si>
    <t xml:space="preserve">per vehicle</t>
  </si>
  <si>
    <t xml:space="preserve">transport, freight train</t>
  </si>
  <si>
    <t xml:space="preserve">t-km</t>
  </si>
  <si>
    <t xml:space="preserve">transport, freight, lorry 16-32 metric ton</t>
  </si>
  <si>
    <t xml:space="preserve">transport, freight, sea, container ship</t>
  </si>
  <si>
    <t xml:space="preserve">Use phase</t>
  </si>
  <si>
    <t xml:space="preserve">per V-km</t>
  </si>
  <si>
    <t xml:space="preserve">Supply chain petrol, low-sulfur</t>
  </si>
  <si>
    <t xml:space="preserve">Direct combustion</t>
  </si>
  <si>
    <t xml:space="preserve">Disposal</t>
  </si>
  <si>
    <t xml:space="preserve">emulsion paint incineration</t>
  </si>
  <si>
    <t xml:space="preserve">glass incineration</t>
  </si>
  <si>
    <t xml:space="preserve">plastic mixture incineration</t>
  </si>
  <si>
    <t xml:space="preserve">zinc in car shredder residue incineration</t>
  </si>
  <si>
    <t xml:space="preserve">aluminium recycled</t>
  </si>
  <si>
    <t xml:space="preserve">Iron and mixed metal scrap recycled</t>
  </si>
  <si>
    <t xml:space="preserve">Total</t>
  </si>
  <si>
    <t xml:space="preserve">-</t>
  </si>
  <si>
    <t xml:space="preserve">DALY/kgCO2e</t>
  </si>
  <si>
    <t xml:space="preserve">DALY/FU</t>
  </si>
  <si>
    <t xml:space="preserve">Transportation by Electric Vehicle
FU= 1 vehicle km
Life Cycle stage (225,000 km lifespan)</t>
  </si>
  <si>
    <t xml:space="preserve">CO2/FU</t>
  </si>
  <si>
    <t xml:space="preserve">Battery, Li-ion, rechargeable, prismatic</t>
  </si>
  <si>
    <t xml:space="preserve">Copper</t>
  </si>
  <si>
    <t xml:space="preserve">Electronics, for control units</t>
  </si>
  <si>
    <t xml:space="preserve">extruded and thermoformed plastic sheets</t>
  </si>
  <si>
    <t xml:space="preserve">lubricating oil</t>
  </si>
  <si>
    <t xml:space="preserve">Metal working, average for steel product manufacturing</t>
  </si>
  <si>
    <t xml:space="preserve">Polypropylene, granulate</t>
  </si>
  <si>
    <t xml:space="preserve">Polyurethane, rigid foam</t>
  </si>
  <si>
    <t xml:space="preserve">electricity, photovoltaic, 
570kWp open ground installation</t>
  </si>
  <si>
    <t xml:space="preserve">electricity, medium voltage RER</t>
  </si>
  <si>
    <t xml:space="preserve">electricity, wind, 1-3MW turbine, onshore</t>
  </si>
  <si>
    <t xml:space="preserve">electricity, hard coal</t>
  </si>
  <si>
    <t xml:space="preserve">glass at landfill</t>
  </si>
  <si>
    <t xml:space="preserve">mineral oil incineration</t>
  </si>
  <si>
    <t xml:space="preserve">plastic, mixture at landfill</t>
  </si>
  <si>
    <t xml:space="preserve">waste polyurethane foam</t>
  </si>
  <si>
    <t xml:space="preserve">Total EU electricity grid</t>
  </si>
  <si>
    <t xml:space="preserve">Total EU electricity wind</t>
  </si>
  <si>
    <t xml:space="preserve">Total EU electricity photovoltaic</t>
  </si>
  <si>
    <t xml:space="preserve">Total EU electricity hard coal</t>
  </si>
  <si>
    <t xml:space="preserve">Result discussion </t>
  </si>
  <si>
    <t xml:space="preserve">3a. Gas vehicle - dominant contributions </t>
  </si>
  <si>
    <t xml:space="preserve">The use phase operations for petrol is the dominant process at 85.1% for both energy use and 86.7% for CO2 eq emissions</t>
  </si>
  <si>
    <t xml:space="preserve">3b.Electric vehicle- dominant contributions</t>
  </si>
  <si>
    <t xml:space="preserve">The electricity use during charging of the use phase operations are the dominant source of energy use (82.4%) and  CO2 eq emissions (76.9%)</t>
  </si>
  <si>
    <t xml:space="preserve">3c. Comparison between scenarios</t>
  </si>
  <si>
    <t xml:space="preserve">The gas vehicle scenario generates higher environmental impacts in terms of energy use and carbon footprint compared to the electric vehicle with UCTE electricity, medium voltage production mix.  However, the electric vehicle scenario with hard coal generates higher environmental impacts in terms of carbon footprint compared to the gas vehicle. The performance of electric vehicles drastically improves (impacts are further reduced) when charging energy is sourced via wind or photovoltaic during the use phase and are sufficient to make them the best scenarios.</t>
  </si>
  <si>
    <t xml:space="preserve">4. Interpretation of ratios gCO2/MJ </t>
  </si>
  <si>
    <t xml:space="preserve">The ratios of gCO2/MJ fall within expected limits for plastics in the ~25s range (petroleum-based products) and transport by train and freight in the ~60-70s range. Metal products unexpectedly fall in the +80 range and incineration is magnitudes higher. The low values for ethylene Glycol implies that there is no combustion for these compounds.</t>
  </si>
  <si>
    <t xml:space="preserve">5. Importance of wind and photovolatic sourcing and electricity substitution related to use phase</t>
  </si>
  <si>
    <t xml:space="preserve">Being able to source energy through wind or solar power is crucial towards absolute sustainability as it can reduce total energy use and fossil emissions by 63%.</t>
  </si>
  <si>
    <t xml:space="preserve">Vehicle lifetime before resale</t>
  </si>
  <si>
    <t xml:space="preserve">Costs</t>
  </si>
  <si>
    <t xml:space="preserve">price/Unit  [Euro/Unit]</t>
  </si>
  <si>
    <t xml:space="preserve">Cost per FU [Euro/V-km]</t>
  </si>
  <si>
    <t xml:space="preserve">fraction costs</t>
  </si>
  <si>
    <t xml:space="preserve">Euro/V-km</t>
  </si>
  <si>
    <t xml:space="preserve">Petrol Vehicle</t>
  </si>
  <si>
    <t xml:space="preserve">Leased electric vehicle</t>
  </si>
  <si>
    <t xml:space="preserve">Purchase</t>
  </si>
  <si>
    <t xml:space="preserve">Cost relevant distance</t>
  </si>
  <si>
    <t xml:space="preserve">1 vehicle incl. Taxes</t>
  </si>
  <si>
    <t xml:space="preserve">p</t>
  </si>
  <si>
    <t xml:space="preserve">Fixed annual costs</t>
  </si>
  <si>
    <t xml:space="preserve">Tax on vehicle at purchase</t>
  </si>
  <si>
    <t xml:space="preserve">Variable cost maintenance</t>
  </si>
  <si>
    <t xml:space="preserve">km/yr</t>
  </si>
  <si>
    <t xml:space="preserve">per year</t>
  </si>
  <si>
    <t xml:space="preserve">Variable cost Fuel - Use phase</t>
  </si>
  <si>
    <t xml:space="preserve">Insurance per year</t>
  </si>
  <si>
    <t xml:space="preserve">Resale </t>
  </si>
  <si>
    <t xml:space="preserve">Registration taxes per year</t>
  </si>
  <si>
    <t xml:space="preserve">Variabl cost maintenance</t>
  </si>
  <si>
    <t xml:space="preserve">km until change</t>
  </si>
  <si>
    <t xml:space="preserve">maintenance per 10000km</t>
  </si>
  <si>
    <t xml:space="preserve">Tires change every 20000 km</t>
  </si>
  <si>
    <t xml:space="preserve">liter</t>
  </si>
  <si>
    <t xml:space="preserve">L</t>
  </si>
  <si>
    <t xml:space="preserve">Resale value - end of life</t>
  </si>
  <si>
    <t xml:space="preserve">1 vehicle</t>
  </si>
  <si>
    <t xml:space="preserve">Transportation by Electric Vehicle
FU= 1 vehicle km
Life Cycle stage  (x km lifespan)</t>
  </si>
  <si>
    <t xml:space="preserve">annual purchase</t>
  </si>
  <si>
    <t xml:space="preserve">Taxes for immatriculation per year</t>
  </si>
  <si>
    <t xml:space="preserve">electricity</t>
  </si>
  <si>
    <t xml:space="preserve">Transportation by leased Electric Vehicle
FU= 1 vehicle km
Life Cycle stage  (x km lifespan)</t>
  </si>
  <si>
    <t xml:space="preserve">1 vehicle (3 times new leasing)</t>
  </si>
  <si>
    <t xml:space="preserve">Leasing 3x3+1 years</t>
  </si>
  <si>
    <t xml:space="preserve">conversion kg_to_g</t>
  </si>
  <si>
    <t xml:space="preserve">Category</t>
  </si>
  <si>
    <t xml:space="preserve">air</t>
  </si>
  <si>
    <t xml:space="preserve">fossil+nuclear+primary forest</t>
  </si>
  <si>
    <t xml:space="preserve">CO2 fossil/total non renewable energy</t>
  </si>
  <si>
    <t xml:space="preserve">climate change</t>
  </si>
  <si>
    <t xml:space="preserve">Indicator</t>
  </si>
  <si>
    <t xml:space="preserve">CO2, fossil</t>
  </si>
  <si>
    <t xml:space="preserve">non-renewable energy resources</t>
  </si>
  <si>
    <t xml:space="preserve">Check combustion included</t>
  </si>
  <si>
    <t xml:space="preserve">GWP 100a</t>
  </si>
  <si>
    <t xml:space="preserve">renewable energy resources, total</t>
  </si>
  <si>
    <t xml:space="preserve">Non-renewable  + renewable energy resources, total</t>
  </si>
  <si>
    <t xml:space="preserve">Activity Name</t>
  </si>
  <si>
    <t xml:space="preserve">Geography</t>
  </si>
  <si>
    <t xml:space="preserve">Reference Product Name</t>
  </si>
  <si>
    <t xml:space="preserve">Reference Product Unit</t>
  </si>
  <si>
    <t xml:space="preserve">Reference Product Amount</t>
  </si>
  <si>
    <t xml:space="preserve">MJ-Eq</t>
  </si>
  <si>
    <t xml:space="preserve">gCO2/MJ</t>
  </si>
  <si>
    <t xml:space="preserve">kg CO2-Eq</t>
  </si>
  <si>
    <t xml:space="preserve">alkyd paint production, white, solvent-based, product in 60% solution state</t>
  </si>
  <si>
    <t xml:space="preserve">RER</t>
  </si>
  <si>
    <t xml:space="preserve">aluminium production, primary, ingot</t>
  </si>
  <si>
    <t xml:space="preserve">RoW</t>
  </si>
  <si>
    <t xml:space="preserve">chromium oxide production, flakes</t>
  </si>
  <si>
    <t xml:space="preserve">market for copper, anode</t>
  </si>
  <si>
    <t xml:space="preserve">GLO</t>
  </si>
  <si>
    <t xml:space="preserve">copper, anode</t>
  </si>
  <si>
    <t xml:space="preserve">electronics production, for control units</t>
  </si>
  <si>
    <t xml:space="preserve">ethylene production, average</t>
  </si>
  <si>
    <t xml:space="preserve">ethylene glycol production</t>
  </si>
  <si>
    <t xml:space="preserve">market for flat glass, uncoated</t>
  </si>
  <si>
    <t xml:space="preserve">market for heat, district or industrial, natural gas</t>
  </si>
  <si>
    <t xml:space="preserve">market for lead</t>
  </si>
  <si>
    <t xml:space="preserve">light fuel oil, burned in industrial furnace 1MW, non-modulating</t>
  </si>
  <si>
    <t xml:space="preserve">Light fuel oil, burned in furnace 1MW of greenhouse/MJ</t>
  </si>
  <si>
    <t xml:space="preserve">*</t>
  </si>
  <si>
    <t xml:space="preserve">market for nickel, class 1</t>
  </si>
  <si>
    <t xml:space="preserve">market for polyethylene, high density, granulate</t>
  </si>
  <si>
    <t xml:space="preserve">polypropylene production, granulate</t>
  </si>
  <si>
    <t xml:space="preserve">market for polyvinylchloride, suspension polymerised</t>
  </si>
  <si>
    <t xml:space="preserve">steel production, low-alloyed, hot rolled</t>
  </si>
  <si>
    <t xml:space="preserve">market for sulfuric acid</t>
  </si>
  <si>
    <t xml:space="preserve">market for synthetic rubber</t>
  </si>
  <si>
    <t xml:space="preserve">tap water production, conventional treatment</t>
  </si>
  <si>
    <t xml:space="preserve">market for zinc</t>
  </si>
  <si>
    <t xml:space="preserve">battery production, Li-ion, rechargeable, prismatic</t>
  </si>
  <si>
    <t xml:space="preserve">battery, Li-ion, rechargeable, prismatic</t>
  </si>
  <si>
    <t xml:space="preserve">extrusion of plastic sheets and thermoforming, inline</t>
  </si>
  <si>
    <t xml:space="preserve">lubricating oil production</t>
  </si>
  <si>
    <t xml:space="preserve">market for metal working, average for aluminium product manufacturing</t>
  </si>
  <si>
    <t xml:space="preserve">metal working, average for aluminium product manufacturing</t>
  </si>
  <si>
    <t xml:space="preserve">metal working, average for steel product manufacturing</t>
  </si>
  <si>
    <t xml:space="preserve">market for polyurethane, rigid foam</t>
  </si>
  <si>
    <t xml:space="preserve">polyurethane, rigid foam</t>
  </si>
  <si>
    <t xml:space="preserve">Transport</t>
  </si>
  <si>
    <t xml:space="preserve">market group for transport, freight train</t>
  </si>
  <si>
    <t xml:space="preserve">metric ton*km</t>
  </si>
  <si>
    <t xml:space="preserve">market for transport, freight, lorry 16-32 metric ton, EURO4</t>
  </si>
  <si>
    <t xml:space="preserve">transport, freight, lorry 16-32 metric ton, EURO4</t>
  </si>
  <si>
    <t xml:space="preserve">treatment of waste emulsion paint, municipal incineration</t>
  </si>
  <si>
    <t xml:space="preserve">CH</t>
  </si>
  <si>
    <t xml:space="preserve">waste emulsion paint</t>
  </si>
  <si>
    <t xml:space="preserve">treatment of waste glass, municipal incineration</t>
  </si>
  <si>
    <t xml:space="preserve">waste glass</t>
  </si>
  <si>
    <t xml:space="preserve">treatment of waste plastic, mixture, municipal incineration</t>
  </si>
  <si>
    <t xml:space="preserve">waste plastic, mixture</t>
  </si>
  <si>
    <t xml:space="preserve">treatment of zinc in car shredder residue, municipal incineration</t>
  </si>
  <si>
    <t xml:space="preserve">zinc in car shredder residue</t>
  </si>
  <si>
    <t xml:space="preserve">treatment of aluminium scrap, post-consumer, prepared for recycling, at remelter</t>
  </si>
  <si>
    <t xml:space="preserve">aluminium, wrought alloy</t>
  </si>
  <si>
    <t xml:space="preserve">treatment of metal scrap, mixed, for recycling, unsorted, sorting</t>
  </si>
  <si>
    <t xml:space="preserve">iron scrap, sorted, pressed</t>
  </si>
  <si>
    <t xml:space="preserve">treatment of waste glass, inert material landfill</t>
  </si>
  <si>
    <t xml:space="preserve">treatment of waste mineral oil, hazardous waste incineration</t>
  </si>
  <si>
    <t xml:space="preserve">waste mineral oil</t>
  </si>
  <si>
    <t xml:space="preserve">treatment of waste plastic, mixture, sanitary landfill</t>
  </si>
  <si>
    <t xml:space="preserve">market for waste polyurethane foam</t>
  </si>
  <si>
    <t xml:space="preserve">Operation/Use</t>
  </si>
  <si>
    <t xml:space="preserve">market for petrol, low-sulfur</t>
  </si>
  <si>
    <t xml:space="preserve">Europe without Switzerland</t>
  </si>
  <si>
    <t xml:space="preserve">petrol, low-sulfur</t>
  </si>
  <si>
    <t xml:space="preserve">*also used in manufacturing for gas vehicle</t>
  </si>
  <si>
    <t xml:space="preserve">market group for electricity, medium voltage</t>
  </si>
  <si>
    <t xml:space="preserve">UCTE</t>
  </si>
  <si>
    <t xml:space="preserve">electricity production, wind, 1-3MW turbine, onshore</t>
  </si>
  <si>
    <t xml:space="preserve">electricity, high voltage</t>
  </si>
  <si>
    <t xml:space="preserve">electricity production, photovoltaic, 570kWp open ground installation, multi-Si</t>
  </si>
  <si>
    <t xml:space="preserve">electricity, low voltage</t>
  </si>
  <si>
    <t xml:space="preserve">electricity production, hard coal</t>
  </si>
  <si>
    <t xml:space="preserve">platinum to generic market for metal catalyst for catalytic converter</t>
  </si>
  <si>
    <t xml:space="preserve">metal catalyst for catalytic converter</t>
  </si>
  <si>
    <t xml:space="preserve">heat production, natural gas, at industrial furnace &gt;100kW</t>
  </si>
  <si>
    <t xml:space="preserve">palladium to generic market for metal catalyst for catalytic converter</t>
  </si>
  <si>
    <t xml:space="preserve">Impact world+ results midpoint</t>
  </si>
  <si>
    <t xml:space="preserve">Gas</t>
  </si>
  <si>
    <t xml:space="preserve">Electric</t>
  </si>
  <si>
    <t xml:space="preserve">Photovoltaic</t>
  </si>
  <si>
    <t xml:space="preserve">Wind</t>
  </si>
  <si>
    <t xml:space="preserve">Climate change, long term</t>
  </si>
  <si>
    <t xml:space="preserve">kg CO2 eq (long)</t>
  </si>
  <si>
    <t xml:space="preserve">Climate change, short term</t>
  </si>
  <si>
    <t xml:space="preserve">kg CO2 eq (short)</t>
  </si>
  <si>
    <t xml:space="preserve">Fossil and nuclear energy use</t>
  </si>
  <si>
    <t xml:space="preserve">MJ deprived</t>
  </si>
  <si>
    <t xml:space="preserve">Freshwater acidification</t>
  </si>
  <si>
    <t xml:space="preserve">kg SO2 eq</t>
  </si>
  <si>
    <t xml:space="preserve">Freshwater ecotoxicity</t>
  </si>
  <si>
    <t xml:space="preserve">CTUe</t>
  </si>
  <si>
    <t xml:space="preserve">Freshwater eutrophication</t>
  </si>
  <si>
    <t xml:space="preserve">kg PO4 P-lim eq</t>
  </si>
  <si>
    <t xml:space="preserve">Human toxicity cancer</t>
  </si>
  <si>
    <t xml:space="preserve">CTUh</t>
  </si>
  <si>
    <t xml:space="preserve">Human toxicity non cancer</t>
  </si>
  <si>
    <t xml:space="preserve">Ionizing radiations</t>
  </si>
  <si>
    <t xml:space="preserve">Bq C-14 eq</t>
  </si>
  <si>
    <t xml:space="preserve">Land occupation, biodiversity</t>
  </si>
  <si>
    <t xml:space="preserve">m2 arable land eq .yr</t>
  </si>
  <si>
    <t xml:space="preserve">Land transformation, biodiversity</t>
  </si>
  <si>
    <t xml:space="preserve">m2 arable land eq</t>
  </si>
  <si>
    <t xml:space="preserve">Marine eutrophication</t>
  </si>
  <si>
    <t xml:space="preserve">kg N N-lim eq</t>
  </si>
  <si>
    <t xml:space="preserve">Mineral resources use</t>
  </si>
  <si>
    <t xml:space="preserve">kg deprived</t>
  </si>
  <si>
    <t xml:space="preserve">Ozone Layer Depletion</t>
  </si>
  <si>
    <t xml:space="preserve">kg CFC-11 eq</t>
  </si>
  <si>
    <t xml:space="preserve">Particulate matter formation</t>
  </si>
  <si>
    <t xml:space="preserve">kg PM2.5 eq</t>
  </si>
  <si>
    <t xml:space="preserve">Photochemical oxidant formation</t>
  </si>
  <si>
    <t xml:space="preserve">kg NMVOC eq</t>
  </si>
  <si>
    <t xml:space="preserve">Terrestrial acidification</t>
  </si>
  <si>
    <t xml:space="preserve">Water scarcity</t>
  </si>
  <si>
    <t xml:space="preserve">m3 world-eq</t>
  </si>
  <si>
    <t xml:space="preserve">Transportation by Gas Vehicle</t>
  </si>
  <si>
    <t xml:space="preserve">Should not be chromium oxide</t>
  </si>
  <si>
    <t xml:space="preserve">other metals (Cu, Zn, Ni, Pb)</t>
  </si>
  <si>
    <t xml:space="preserve">platinum</t>
  </si>
  <si>
    <t xml:space="preserve">polyethylene, polypropylene &amp; PVC</t>
  </si>
  <si>
    <t xml:space="preserve">glas</t>
  </si>
  <si>
    <t xml:space="preserve">ethylene, paints, fluids</t>
  </si>
  <si>
    <t xml:space="preserve">v</t>
  </si>
  <si>
    <t xml:space="preserve">Worth adding, not negligble</t>
  </si>
  <si>
    <t xml:space="preserve">x</t>
  </si>
  <si>
    <t xml:space="preserve">Electricity was directly in kWh, do not divide by 3.6</t>
  </si>
  <si>
    <t xml:space="preserve">Transportation
*Please see note in top-corner*</t>
  </si>
  <si>
    <t xml:space="preserve">Use phase
*Please see note in top-corner*</t>
  </si>
  <si>
    <t xml:space="preserve">Directly Use Numbers Below</t>
  </si>
  <si>
    <r>
      <rPr>
        <sz val="16"/>
        <color rgb="FFFF0000"/>
        <rFont val="Arial"/>
        <family val="2"/>
        <charset val="1"/>
      </rPr>
      <t xml:space="preserve">Disposal
</t>
    </r>
    <r>
      <rPr>
        <b val="true"/>
        <sz val="14"/>
        <rFont val="Arial"/>
        <family val="2"/>
        <charset val="1"/>
      </rPr>
      <t xml:space="preserve">Determine using given information</t>
    </r>
  </si>
  <si>
    <t xml:space="preserve">aluminium recycling</t>
  </si>
  <si>
    <t xml:space="preserve">Do not include recycling process in thelife cycle</t>
  </si>
  <si>
    <t xml:space="preserve">Transportation by Electric Vehicle</t>
  </si>
  <si>
    <t xml:space="preserve">Metal working, average for aluminium product manufacturing</t>
  </si>
  <si>
    <t xml:space="preserve">For use phase sensitivity analyses: </t>
  </si>
  <si>
    <t xml:space="preserve">Recyling of iron and mixed metal scrap</t>
  </si>
  <si>
    <t xml:space="preserve">Determine using given information</t>
  </si>
</sst>
</file>

<file path=xl/styles.xml><?xml version="1.0" encoding="utf-8"?>
<styleSheet xmlns="http://schemas.openxmlformats.org/spreadsheetml/2006/main">
  <numFmts count="13">
    <numFmt numFmtId="164" formatCode="General"/>
    <numFmt numFmtId="165" formatCode="_ &quot;CHF &quot;* #,##0.00_ ;_ &quot;CHF &quot;* \-#,##0.00_ ;_ &quot;CHF &quot;* \-??_ ;_ @_ "/>
    <numFmt numFmtId="166" formatCode="0.000"/>
    <numFmt numFmtId="167" formatCode="0"/>
    <numFmt numFmtId="168" formatCode="0.00"/>
    <numFmt numFmtId="169" formatCode="0.00E+00"/>
    <numFmt numFmtId="170" formatCode="0.000%"/>
    <numFmt numFmtId="171" formatCode="0.0%"/>
    <numFmt numFmtId="172" formatCode="0.0000"/>
    <numFmt numFmtId="173" formatCode="0.00000"/>
    <numFmt numFmtId="174" formatCode="0.00%"/>
    <numFmt numFmtId="175" formatCode="General"/>
    <numFmt numFmtId="176" formatCode="0.0"/>
  </numFmts>
  <fonts count="26">
    <font>
      <sz val="11"/>
      <color theme="1"/>
      <name val="Calibri"/>
      <family val="2"/>
      <charset val="1"/>
    </font>
    <font>
      <sz val="10"/>
      <name val="Arial"/>
      <family val="0"/>
    </font>
    <font>
      <sz val="10"/>
      <name val="Arial"/>
      <family val="0"/>
    </font>
    <font>
      <sz val="10"/>
      <name val="Arial"/>
      <family val="0"/>
    </font>
    <font>
      <sz val="11"/>
      <color theme="1"/>
      <name val="Helvetica LT Pro"/>
      <family val="2"/>
      <charset val="1"/>
    </font>
    <font>
      <u val="single"/>
      <sz val="11"/>
      <color theme="10"/>
      <name val="Calibri"/>
      <family val="2"/>
      <charset val="1"/>
    </font>
    <font>
      <sz val="16"/>
      <color theme="1"/>
      <name val="Arial"/>
      <family val="2"/>
      <charset val="1"/>
    </font>
    <font>
      <sz val="16"/>
      <color rgb="FFFF0000"/>
      <name val="Arial"/>
      <family val="2"/>
      <charset val="1"/>
    </font>
    <font>
      <b val="true"/>
      <sz val="16"/>
      <color theme="1"/>
      <name val="Arial"/>
      <family val="2"/>
      <charset val="1"/>
    </font>
    <font>
      <sz val="10"/>
      <name val="Arial"/>
      <family val="2"/>
    </font>
    <font>
      <sz val="9"/>
      <color rgb="FF000000"/>
      <name val="Tahoma"/>
      <family val="2"/>
      <charset val="1"/>
    </font>
    <font>
      <sz val="24"/>
      <color rgb="FF595959"/>
      <name val="Calibri"/>
      <family val="2"/>
    </font>
    <font>
      <sz val="20"/>
      <color rgb="FF595959"/>
      <name val="Calibri"/>
      <family val="2"/>
    </font>
    <font>
      <sz val="25"/>
      <color rgb="FF595959"/>
      <name val="Calibri"/>
      <family val="2"/>
    </font>
    <font>
      <vertAlign val="subscript"/>
      <sz val="24"/>
      <color rgb="FF595959"/>
      <name val="Calibri"/>
      <family val="2"/>
    </font>
    <font>
      <sz val="14"/>
      <color rgb="FF595959"/>
      <name val="Calibri"/>
      <family val="2"/>
    </font>
    <font>
      <sz val="21.6"/>
      <color rgb="FF595959"/>
      <name val="Calibri"/>
      <family val="2"/>
    </font>
    <font>
      <sz val="18"/>
      <color rgb="FF595959"/>
      <name val="Calibri"/>
      <family val="2"/>
    </font>
    <font>
      <sz val="16"/>
      <color rgb="FF595959"/>
      <name val="Calibri"/>
      <family val="2"/>
    </font>
    <font>
      <sz val="11"/>
      <color theme="1"/>
      <name val="Calibri Light"/>
      <family val="2"/>
      <charset val="1"/>
    </font>
    <font>
      <b val="true"/>
      <sz val="11"/>
      <color theme="0"/>
      <name val="Calibri Light"/>
      <family val="2"/>
      <charset val="1"/>
    </font>
    <font>
      <b val="true"/>
      <sz val="11"/>
      <color theme="1"/>
      <name val="Calibri"/>
      <family val="2"/>
      <charset val="1"/>
    </font>
    <font>
      <b val="true"/>
      <sz val="14"/>
      <color theme="1"/>
      <name val="Arial"/>
      <family val="2"/>
      <charset val="1"/>
    </font>
    <font>
      <b val="true"/>
      <sz val="14"/>
      <name val="Arial"/>
      <family val="2"/>
      <charset val="1"/>
    </font>
    <font>
      <sz val="18"/>
      <color rgb="FF000000"/>
      <name val="Tahoma"/>
      <family val="2"/>
      <charset val="1"/>
    </font>
    <font>
      <sz val="16"/>
      <color rgb="FF000000"/>
      <name val="Tahoma"/>
      <family val="2"/>
      <charset val="1"/>
    </font>
  </fonts>
  <fills count="12">
    <fill>
      <patternFill patternType="none"/>
    </fill>
    <fill>
      <patternFill patternType="gray125"/>
    </fill>
    <fill>
      <patternFill patternType="solid">
        <fgColor theme="2" tint="-0.1"/>
        <bgColor rgb="FFD9D9D9"/>
      </patternFill>
    </fill>
    <fill>
      <patternFill patternType="solid">
        <fgColor theme="0"/>
        <bgColor rgb="FFFFF2CC"/>
      </patternFill>
    </fill>
    <fill>
      <patternFill patternType="solid">
        <fgColor theme="7" tint="0.3999"/>
        <bgColor rgb="FFFFC7CE"/>
      </patternFill>
    </fill>
    <fill>
      <patternFill patternType="solid">
        <fgColor theme="5" tint="0.7999"/>
        <bgColor rgb="FFFFF2CC"/>
      </patternFill>
    </fill>
    <fill>
      <patternFill patternType="solid">
        <fgColor theme="5"/>
        <bgColor rgb="FFFF8080"/>
      </patternFill>
    </fill>
    <fill>
      <patternFill patternType="solid">
        <fgColor theme="7" tint="0.7999"/>
        <bgColor rgb="FFFBE5D6"/>
      </patternFill>
    </fill>
    <fill>
      <patternFill patternType="solid">
        <fgColor theme="4" tint="0.7999"/>
        <bgColor rgb="FFE2F0D9"/>
      </patternFill>
    </fill>
    <fill>
      <patternFill patternType="solid">
        <fgColor theme="9" tint="0.7999"/>
        <bgColor rgb="FFDEEBF7"/>
      </patternFill>
    </fill>
    <fill>
      <patternFill patternType="solid">
        <fgColor theme="0" tint="-0.15"/>
        <bgColor rgb="FFD0CECE"/>
      </patternFill>
    </fill>
    <fill>
      <patternFill patternType="solid">
        <fgColor rgb="FFFFFF00"/>
        <bgColor rgb="FFFFD966"/>
      </patternFill>
    </fill>
  </fills>
  <borders count="50">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right/>
      <top style="medium"/>
      <bottom style="medium"/>
      <diagonal/>
    </border>
    <border diagonalUp="false" diagonalDown="false">
      <left/>
      <right style="thin"/>
      <top style="medium"/>
      <bottom style="medium"/>
      <diagonal/>
    </border>
    <border diagonalUp="false" diagonalDown="false">
      <left style="thin"/>
      <right style="medium"/>
      <top style="medium"/>
      <bottom style="medium"/>
      <diagonal/>
    </border>
    <border diagonalUp="false" diagonalDown="false">
      <left/>
      <right style="medium"/>
      <top style="medium"/>
      <bottom style="medium"/>
      <diagonal/>
    </border>
    <border diagonalUp="false" diagonalDown="false">
      <left style="medium"/>
      <right style="medium"/>
      <top/>
      <bottom/>
      <diagonal/>
    </border>
    <border diagonalUp="false" diagonalDown="false">
      <left/>
      <right style="thin"/>
      <top/>
      <bottom/>
      <diagonal/>
    </border>
    <border diagonalUp="false" diagonalDown="false">
      <left style="thin"/>
      <right style="medium"/>
      <top/>
      <bottom/>
      <diagonal/>
    </border>
    <border diagonalUp="false" diagonalDown="false">
      <left style="medium"/>
      <right style="medium"/>
      <top style="medium"/>
      <bottom/>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medium"/>
      <right/>
      <top/>
      <bottom/>
      <diagonal/>
    </border>
    <border diagonalUp="false" diagonalDown="false">
      <left style="thin"/>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right/>
      <top style="medium"/>
      <bottom/>
      <diagonal/>
    </border>
    <border diagonalUp="false" diagonalDown="false">
      <left style="medium"/>
      <right/>
      <top style="medium"/>
      <bottom/>
      <diagonal/>
    </border>
    <border diagonalUp="false" diagonalDown="false">
      <left/>
      <right style="thin"/>
      <top style="medium"/>
      <bottom/>
      <diagonal/>
    </border>
    <border diagonalUp="false" diagonalDown="false">
      <left style="thin"/>
      <right style="medium"/>
      <top style="medium"/>
      <bottom/>
      <diagonal/>
    </border>
    <border diagonalUp="false" diagonalDown="false">
      <left style="medium"/>
      <right/>
      <top/>
      <bottom style="medium"/>
      <diagonal/>
    </border>
    <border diagonalUp="false" diagonalDown="false">
      <left style="medium"/>
      <right/>
      <top style="medium"/>
      <bottom style="medium"/>
      <diagonal/>
    </border>
    <border diagonalUp="false" diagonalDown="false">
      <left/>
      <right/>
      <top/>
      <bottom style="thin"/>
      <diagonal/>
    </border>
    <border diagonalUp="false" diagonalDown="false">
      <left style="thin"/>
      <right/>
      <top style="thin"/>
      <bottom style="thin"/>
      <diagonal/>
    </border>
    <border diagonalUp="false" diagonalDown="false">
      <left/>
      <right/>
      <top style="thin"/>
      <bottom/>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bottom style="medium"/>
      <diagonal/>
    </border>
    <border diagonalUp="false" diagonalDown="false">
      <left style="thin"/>
      <right style="thin"/>
      <top style="thin"/>
      <bottom style="mediu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right style="medium"/>
      <top style="medium"/>
      <bottom/>
      <diagonal/>
    </border>
    <border diagonalUp="false" diagonalDown="false">
      <left/>
      <right style="medium"/>
      <top style="thin"/>
      <bottom/>
      <diagonal/>
    </border>
    <border diagonalUp="false" diagonalDown="false">
      <left/>
      <right style="medium"/>
      <top/>
      <bottom style="thin"/>
      <diagonal/>
    </border>
    <border diagonalUp="false" diagonalDown="false">
      <left/>
      <right style="medium"/>
      <top/>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cellStyleXfs>
  <cellXfs count="283">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center" vertical="top" textRotation="0" wrapText="tru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6" fontId="6" fillId="0" borderId="4" xfId="0" applyFont="true" applyBorder="true" applyAlignment="true" applyProtection="false">
      <alignment horizontal="general" vertical="top"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7" fontId="6" fillId="0" borderId="2" xfId="0" applyFont="true" applyBorder="true" applyAlignment="true" applyProtection="false">
      <alignment horizontal="general"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7" fillId="2" borderId="7" xfId="0" applyFont="true" applyBorder="true" applyAlignment="fals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8"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6" fontId="7" fillId="2" borderId="8" xfId="0" applyFont="true" applyBorder="true" applyAlignment="false" applyProtection="false">
      <alignment horizontal="general" vertical="bottom" textRotation="0" wrapText="false" indent="0" shrinkToFit="false"/>
      <protection locked="true" hidden="false"/>
    </xf>
    <xf numFmtId="164" fontId="7" fillId="2" borderId="9" xfId="0" applyFont="true" applyBorder="true" applyAlignment="false" applyProtection="false">
      <alignment horizontal="general" vertical="bottom" textRotation="0" wrapText="false" indent="0" shrinkToFit="false"/>
      <protection locked="true" hidden="false"/>
    </xf>
    <xf numFmtId="167" fontId="7" fillId="2" borderId="10" xfId="0" applyFont="true" applyBorder="true" applyAlignment="false" applyProtection="false">
      <alignment horizontal="general" vertical="bottom" textRotation="0" wrapText="false" indent="0" shrinkToFit="false"/>
      <protection locked="true" hidden="false"/>
    </xf>
    <xf numFmtId="164" fontId="6" fillId="0" borderId="11" xfId="0" applyFont="true" applyBorder="true" applyAlignment="false" applyProtection="false">
      <alignment horizontal="general" vertical="bottom" textRotation="0" wrapText="false" indent="0" shrinkToFit="false"/>
      <protection locked="true" hidden="false"/>
    </xf>
    <xf numFmtId="166" fontId="6" fillId="3" borderId="11" xfId="0" applyFont="true" applyBorder="true" applyAlignment="false" applyProtection="false">
      <alignment horizontal="general" vertical="bottom" textRotation="0" wrapText="false" indent="0" shrinkToFit="false"/>
      <protection locked="true" hidden="false"/>
    </xf>
    <xf numFmtId="169" fontId="6" fillId="3" borderId="11" xfId="0" applyFont="true" applyBorder="tru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64" fontId="6" fillId="0" borderId="12" xfId="0" applyFont="true" applyBorder="true" applyAlignment="false" applyProtection="false">
      <alignment horizontal="general" vertical="bottom" textRotation="0" wrapText="fals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8" fontId="6" fillId="0" borderId="11" xfId="0" applyFont="true" applyBorder="true" applyAlignment="true" applyProtection="false">
      <alignment horizontal="center" vertical="bottom" textRotation="0" wrapText="false" indent="0" shrinkToFit="false"/>
      <protection locked="true" hidden="false"/>
    </xf>
    <xf numFmtId="170" fontId="6" fillId="0" borderId="9"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7" fontId="6" fillId="0" borderId="7" xfId="0" applyFont="true" applyBorder="true" applyAlignment="true" applyProtection="false">
      <alignment horizontal="center" vertical="bottom" textRotation="0" wrapText="false" indent="0" shrinkToFit="false"/>
      <protection locked="true" hidden="false"/>
    </xf>
    <xf numFmtId="164" fontId="6" fillId="3" borderId="11" xfId="0" applyFont="true" applyBorder="true" applyAlignment="false" applyProtection="false">
      <alignment horizontal="general" vertical="bottom" textRotation="0" wrapText="false" indent="0" shrinkToFit="false"/>
      <protection locked="true" hidden="false"/>
    </xf>
    <xf numFmtId="166" fontId="6" fillId="0" borderId="11" xfId="0" applyFont="true" applyBorder="true" applyAlignment="false" applyProtection="false">
      <alignment horizontal="general" vertical="bottom" textRotation="0" wrapText="false" indent="0" shrinkToFit="false"/>
      <protection locked="true" hidden="false"/>
    </xf>
    <xf numFmtId="169" fontId="6" fillId="0" borderId="11"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1" fontId="6" fillId="0" borderId="9" xfId="0" applyFont="true" applyBorder="true" applyAlignment="true" applyProtection="false">
      <alignment horizontal="center" vertical="bottom" textRotation="0" wrapText="false" indent="0" shrinkToFit="false"/>
      <protection locked="true" hidden="false"/>
    </xf>
    <xf numFmtId="172" fontId="6" fillId="0" borderId="11" xfId="0" applyFont="true" applyBorder="tru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3" fontId="6" fillId="0" borderId="11" xfId="0" applyFont="true" applyBorder="true" applyAlignment="false" applyProtection="false">
      <alignment horizontal="general" vertical="bottom" textRotation="0" wrapText="false" indent="0" shrinkToFit="false"/>
      <protection locked="true" hidden="false"/>
    </xf>
    <xf numFmtId="168" fontId="6" fillId="0" borderId="11"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0" borderId="13" xfId="0" applyFont="true" applyBorder="true" applyAlignment="false" applyProtection="false">
      <alignment horizontal="general" vertical="bottom" textRotation="0" wrapText="false" indent="0" shrinkToFit="false"/>
      <protection locked="true" hidden="false"/>
    </xf>
    <xf numFmtId="168" fontId="6" fillId="0" borderId="13" xfId="0" applyFont="true" applyBorder="true" applyAlignment="false" applyProtection="false">
      <alignment horizontal="general" vertical="bottom" textRotation="0" wrapText="false" indent="0" shrinkToFit="false"/>
      <protection locked="true" hidden="false"/>
    </xf>
    <xf numFmtId="166" fontId="6" fillId="0" borderId="13" xfId="0" applyFont="true" applyBorder="true" applyAlignment="false" applyProtection="false">
      <alignment horizontal="general" vertical="bottom" textRotation="0" wrapText="false" indent="0" shrinkToFit="false"/>
      <protection locked="true" hidden="false"/>
    </xf>
    <xf numFmtId="167" fontId="6" fillId="0" borderId="11"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4" fontId="6" fillId="0" borderId="14" xfId="0" applyFont="true" applyBorder="tru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8" fontId="6" fillId="0" borderId="15" xfId="0" applyFont="true" applyBorder="true" applyAlignment="true" applyProtection="false">
      <alignment horizontal="center" vertical="bottom" textRotation="0" wrapText="false" indent="0" shrinkToFit="false"/>
      <protection locked="true" hidden="false"/>
    </xf>
    <xf numFmtId="164" fontId="6" fillId="2" borderId="8"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6" fontId="6" fillId="2" borderId="8" xfId="0" applyFont="true" applyBorder="true" applyAlignment="true" applyProtection="false">
      <alignment horizontal="center" vertical="bottom" textRotation="0" wrapText="false" indent="0" shrinkToFit="false"/>
      <protection locked="true" hidden="false"/>
    </xf>
    <xf numFmtId="164" fontId="6" fillId="2" borderId="9" xfId="0" applyFont="true" applyBorder="true" applyAlignment="true" applyProtection="false">
      <alignment horizontal="center" vertical="bottom" textRotation="0" wrapText="false" indent="0" shrinkToFit="false"/>
      <protection locked="true" hidden="false"/>
    </xf>
    <xf numFmtId="167" fontId="6" fillId="2" borderId="7" xfId="0" applyFont="true" applyBorder="true" applyAlignment="true" applyProtection="false">
      <alignment horizontal="center" vertical="bottom" textRotation="0" wrapText="false" indent="0" shrinkToFit="false"/>
      <protection locked="true" hidden="false"/>
    </xf>
    <xf numFmtId="167" fontId="6" fillId="2" borderId="0" xfId="0" applyFont="true" applyBorder="false" applyAlignment="true" applyProtection="false">
      <alignment horizontal="center" vertical="bottom" textRotation="0" wrapText="false" indent="0" shrinkToFit="false"/>
      <protection locked="true" hidden="false"/>
    </xf>
    <xf numFmtId="167" fontId="6" fillId="2" borderId="9" xfId="0" applyFont="true" applyBorder="true" applyAlignment="true" applyProtection="false">
      <alignment horizontal="center" vertical="bottom" textRotation="0" wrapText="false" indent="0" shrinkToFit="false"/>
      <protection locked="true" hidden="false"/>
    </xf>
    <xf numFmtId="164" fontId="6" fillId="0" borderId="8" xfId="0" applyFont="true" applyBorder="true" applyAlignment="true" applyProtection="false">
      <alignment horizontal="center" vertical="bottom" textRotation="0" wrapText="false" indent="0" shrinkToFit="false"/>
      <protection locked="true" hidden="false"/>
    </xf>
    <xf numFmtId="166" fontId="6" fillId="0" borderId="11" xfId="0" applyFont="true" applyBorder="true" applyAlignment="true" applyProtection="false">
      <alignment horizontal="center" vertical="bottom" textRotation="0" wrapText="false" indent="0" shrinkToFit="false"/>
      <protection locked="true" hidden="false"/>
    </xf>
    <xf numFmtId="174" fontId="6" fillId="0" borderId="15" xfId="0" applyFont="true" applyBorder="true" applyAlignment="true" applyProtection="false">
      <alignment horizontal="center" vertical="bottom" textRotation="0" wrapText="false" indent="0" shrinkToFit="false"/>
      <protection locked="true" hidden="false"/>
    </xf>
    <xf numFmtId="168" fontId="6" fillId="0" borderId="14" xfId="0" applyFont="true" applyBorder="true" applyAlignment="true" applyProtection="false">
      <alignment horizontal="center" vertical="bottom" textRotation="0" wrapText="false" indent="0" shrinkToFit="false"/>
      <protection locked="true" hidden="false"/>
    </xf>
    <xf numFmtId="169" fontId="6" fillId="0" borderId="8" xfId="0" applyFont="true" applyBorder="true" applyAlignment="true" applyProtection="false">
      <alignment horizontal="center" vertical="bottom" textRotation="0" wrapText="false" indent="0" shrinkToFit="false"/>
      <protection locked="true" hidden="false"/>
    </xf>
    <xf numFmtId="167" fontId="6" fillId="0" borderId="8" xfId="0" applyFont="true" applyBorder="true" applyAlignment="true" applyProtection="false">
      <alignment horizontal="center" vertical="bottom" textRotation="0" wrapText="false" indent="0" shrinkToFit="false"/>
      <protection locked="true" hidden="false"/>
    </xf>
    <xf numFmtId="164" fontId="6" fillId="2" borderId="14" xfId="0" applyFont="true" applyBorder="true" applyAlignment="true" applyProtection="false">
      <alignment horizontal="center" vertical="bottom" textRotation="0" wrapText="false" indent="0" shrinkToFit="false"/>
      <protection locked="true" hidden="false"/>
    </xf>
    <xf numFmtId="167" fontId="6" fillId="2" borderId="15" xfId="0" applyFont="true" applyBorder="true" applyAlignment="true" applyProtection="false">
      <alignment horizontal="center" vertical="bottom" textRotation="0" wrapText="false" indent="0" shrinkToFit="false"/>
      <protection locked="true" hidden="false"/>
    </xf>
    <xf numFmtId="172" fontId="6" fillId="5" borderId="0" xfId="0" applyFont="true" applyBorder="false" applyAlignment="true" applyProtection="false">
      <alignment horizontal="center" vertical="bottom" textRotation="0" wrapText="false" indent="0" shrinkToFit="false"/>
      <protection locked="true" hidden="false"/>
    </xf>
    <xf numFmtId="169" fontId="6" fillId="5" borderId="0" xfId="0" applyFont="true" applyBorder="false" applyAlignment="true" applyProtection="false">
      <alignment horizontal="center" vertical="bottom" textRotation="0" wrapText="false" indent="0" shrinkToFit="false"/>
      <protection locked="true" hidden="false"/>
    </xf>
    <xf numFmtId="167" fontId="6" fillId="3" borderId="7" xfId="0" applyFont="true" applyBorder="true" applyAlignment="true" applyProtection="false">
      <alignment horizontal="center" vertical="bottom" textRotation="0" wrapText="false" indent="0" shrinkToFit="false"/>
      <protection locked="true" hidden="false"/>
    </xf>
    <xf numFmtId="168" fontId="6" fillId="3" borderId="14" xfId="0" applyFont="true" applyBorder="true" applyAlignment="true" applyProtection="false">
      <alignment horizontal="center" vertical="bottom" textRotation="0" wrapText="false" indent="0" shrinkToFit="false"/>
      <protection locked="true" hidden="false"/>
    </xf>
    <xf numFmtId="169" fontId="6" fillId="3" borderId="0" xfId="0" applyFont="true" applyBorder="false" applyAlignment="true" applyProtection="false">
      <alignment horizontal="center" vertical="bottom" textRotation="0" wrapText="false" indent="0" shrinkToFit="false"/>
      <protection locked="true" hidden="false"/>
    </xf>
    <xf numFmtId="171" fontId="6" fillId="3" borderId="9" xfId="0" applyFont="true" applyBorder="true" applyAlignment="true" applyProtection="false">
      <alignment horizontal="center" vertical="bottom" textRotation="0" wrapText="false" indent="0" shrinkToFit="false"/>
      <protection locked="true" hidden="false"/>
    </xf>
    <xf numFmtId="164" fontId="6" fillId="0" borderId="16" xfId="0" applyFont="true" applyBorder="true" applyAlignment="false" applyProtection="false">
      <alignment horizontal="general" vertical="bottom" textRotation="0" wrapText="false" indent="0" shrinkToFit="false"/>
      <protection locked="true" hidden="false"/>
    </xf>
    <xf numFmtId="169" fontId="6" fillId="0" borderId="11" xfId="0" applyFont="true" applyBorder="true" applyAlignment="true" applyProtection="false">
      <alignment horizontal="center" vertical="bottom" textRotation="0" wrapText="false" indent="0" shrinkToFit="false"/>
      <protection locked="true" hidden="false"/>
    </xf>
    <xf numFmtId="167" fontId="6" fillId="0" borderId="15" xfId="0" applyFont="true" applyBorder="true" applyAlignment="true" applyProtection="false">
      <alignment horizontal="center" vertical="bottom" textRotation="0" wrapText="false" indent="0" shrinkToFit="false"/>
      <protection locked="true" hidden="false"/>
    </xf>
    <xf numFmtId="168" fontId="7" fillId="2" borderId="14" xfId="0" applyFont="true" applyBorder="true" applyAlignment="true" applyProtection="false">
      <alignment horizontal="center" vertical="bottom" textRotation="0" wrapText="false" indent="0" shrinkToFit="false"/>
      <protection locked="true" hidden="false"/>
    </xf>
    <xf numFmtId="164" fontId="6" fillId="2" borderId="11" xfId="0" applyFont="true" applyBorder="true" applyAlignment="true" applyProtection="false">
      <alignment horizontal="center" vertical="bottom" textRotation="0" wrapText="false" indent="0" shrinkToFit="false"/>
      <protection locked="true" hidden="false"/>
    </xf>
    <xf numFmtId="166" fontId="6" fillId="2" borderId="11" xfId="0" applyFont="true" applyBorder="true" applyAlignment="true" applyProtection="false">
      <alignment horizontal="center" vertical="bottom" textRotation="0" wrapText="false" indent="0" shrinkToFit="false"/>
      <protection locked="true" hidden="false"/>
    </xf>
    <xf numFmtId="169" fontId="6" fillId="0" borderId="13" xfId="0" applyFont="true" applyBorder="true" applyAlignment="false" applyProtection="false">
      <alignment horizontal="general" vertical="bottom" textRotation="0" wrapText="false" indent="0" shrinkToFit="false"/>
      <protection locked="true" hidden="false"/>
    </xf>
    <xf numFmtId="164" fontId="6" fillId="0" borderId="11" xfId="0" applyFont="true" applyBorder="true" applyAlignment="true" applyProtection="false">
      <alignment horizontal="center" vertical="bottom" textRotation="0" wrapText="false" indent="0" shrinkToFit="false"/>
      <protection locked="true" hidden="false"/>
    </xf>
    <xf numFmtId="166" fontId="8" fillId="0" borderId="11" xfId="0"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6" fillId="0" borderId="17" xfId="0" applyFont="true" applyBorder="true" applyAlignment="false" applyProtection="false">
      <alignment horizontal="general" vertical="bottom" textRotation="0" wrapText="false" indent="0" shrinkToFit="false"/>
      <protection locked="true" hidden="false"/>
    </xf>
    <xf numFmtId="168" fontId="6" fillId="0" borderId="18" xfId="0" applyFont="true" applyBorder="true" applyAlignment="true" applyProtection="false">
      <alignment horizontal="center" vertical="bottom" textRotation="0" wrapText="false" indent="0" shrinkToFit="false"/>
      <protection locked="true" hidden="false"/>
    </xf>
    <xf numFmtId="164" fontId="6" fillId="0" borderId="18" xfId="0" applyFont="true" applyBorder="true" applyAlignment="true" applyProtection="false">
      <alignment horizontal="center" vertical="bottom" textRotation="0" wrapText="false" indent="0" shrinkToFit="false"/>
      <protection locked="true" hidden="false"/>
    </xf>
    <xf numFmtId="164" fontId="6" fillId="0" borderId="19" xfId="0" applyFont="true" applyBorder="true" applyAlignment="true" applyProtection="false">
      <alignment horizontal="center" vertical="bottom" textRotation="0" wrapText="false" indent="0" shrinkToFit="false"/>
      <protection locked="true" hidden="false"/>
    </xf>
    <xf numFmtId="164" fontId="6" fillId="0" borderId="20" xfId="0" applyFont="true" applyBorder="true" applyAlignment="true" applyProtection="false">
      <alignment horizontal="center" vertical="bottom" textRotation="0" wrapText="false" indent="0" shrinkToFit="false"/>
      <protection locked="true" hidden="false"/>
    </xf>
    <xf numFmtId="166" fontId="6" fillId="0" borderId="20" xfId="0" applyFont="true" applyBorder="true" applyAlignment="true" applyProtection="false">
      <alignment horizontal="center" vertical="bottom" textRotation="0" wrapText="false" indent="0" shrinkToFit="false"/>
      <protection locked="true" hidden="false"/>
    </xf>
    <xf numFmtId="171" fontId="6" fillId="0" borderId="21" xfId="0" applyFont="true" applyBorder="true" applyAlignment="true" applyProtection="false">
      <alignment horizontal="center" vertical="bottom" textRotation="0" wrapText="false" indent="0" shrinkToFit="false"/>
      <protection locked="true" hidden="false"/>
    </xf>
    <xf numFmtId="167" fontId="6" fillId="0" borderId="17" xfId="0" applyFont="true" applyBorder="tru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64" fontId="6" fillId="0" borderId="22" xfId="0" applyFont="true" applyBorder="true" applyAlignment="true" applyProtection="false">
      <alignment horizontal="general" vertical="top" textRotation="0" wrapText="true" indent="0" shrinkToFit="false"/>
      <protection locked="true" hidden="false"/>
    </xf>
    <xf numFmtId="167" fontId="7" fillId="2" borderId="15" xfId="0" applyFont="true" applyBorder="true" applyAlignment="false" applyProtection="false">
      <alignment horizontal="general" vertical="bottom" textRotation="0" wrapText="false" indent="0" shrinkToFit="false"/>
      <protection locked="true" hidden="false"/>
    </xf>
    <xf numFmtId="167" fontId="7" fillId="2" borderId="23" xfId="0" applyFont="true" applyBorder="true" applyAlignment="false" applyProtection="false">
      <alignment horizontal="general" vertical="bottom" textRotation="0" wrapText="false" indent="0" shrinkToFit="false"/>
      <protection locked="true" hidden="false"/>
    </xf>
    <xf numFmtId="167" fontId="7" fillId="2" borderId="24" xfId="0" applyFont="true" applyBorder="true" applyAlignment="false" applyProtection="false">
      <alignment horizontal="general" vertical="bottom" textRotation="0" wrapText="false" indent="0" shrinkToFit="false"/>
      <protection locked="true" hidden="false"/>
    </xf>
    <xf numFmtId="167" fontId="7" fillId="2" borderId="25"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6" fillId="0" borderId="16" xfId="0" applyFont="true" applyBorder="true" applyAlignment="true" applyProtection="false">
      <alignment horizontal="general" vertical="bottom" textRotation="0" wrapText="true" indent="0" shrinkToFit="false"/>
      <protection locked="true" hidden="false"/>
    </xf>
    <xf numFmtId="169" fontId="6" fillId="2" borderId="8" xfId="0" applyFont="true" applyBorder="true" applyAlignment="true" applyProtection="false">
      <alignment horizontal="center" vertical="bottom" textRotation="0" wrapText="false" indent="0" shrinkToFit="false"/>
      <protection locked="true" hidden="false"/>
    </xf>
    <xf numFmtId="167" fontId="6" fillId="2" borderId="8" xfId="0" applyFont="true" applyBorder="true" applyAlignment="true" applyProtection="false">
      <alignment horizontal="center" vertical="bottom" textRotation="0" wrapText="false" indent="0" shrinkToFit="false"/>
      <protection locked="true" hidden="false"/>
    </xf>
    <xf numFmtId="171" fontId="6" fillId="2" borderId="9" xfId="0" applyFont="true" applyBorder="true" applyAlignment="true" applyProtection="false">
      <alignment horizontal="center" vertical="bottom" textRotation="0" wrapText="fals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6" fontId="6" fillId="0" borderId="8" xfId="0" applyFont="true" applyBorder="true" applyAlignment="true" applyProtection="false">
      <alignment horizontal="center" vertical="bottom" textRotation="0" wrapText="false" indent="0" shrinkToFit="false"/>
      <protection locked="true" hidden="false"/>
    </xf>
    <xf numFmtId="168" fontId="7" fillId="2" borderId="26" xfId="0" applyFont="true" applyBorder="true" applyAlignment="true" applyProtection="false">
      <alignment horizontal="center" vertical="bottom" textRotation="0" wrapText="false" indent="0" shrinkToFit="false"/>
      <protection locked="true" hidden="false"/>
    </xf>
    <xf numFmtId="164" fontId="6" fillId="2" borderId="18" xfId="0" applyFont="true" applyBorder="true" applyAlignment="true" applyProtection="false">
      <alignment horizontal="center" vertical="bottom" textRotation="0" wrapText="false" indent="0" shrinkToFit="false"/>
      <protection locked="true" hidden="false"/>
    </xf>
    <xf numFmtId="164" fontId="6" fillId="2" borderId="19" xfId="0" applyFont="true" applyBorder="true" applyAlignment="true" applyProtection="false">
      <alignment horizontal="center" vertical="bottom" textRotation="0" wrapText="false" indent="0" shrinkToFit="false"/>
      <protection locked="true" hidden="false"/>
    </xf>
    <xf numFmtId="166" fontId="6" fillId="2" borderId="19" xfId="0" applyFont="true" applyBorder="true" applyAlignment="true" applyProtection="false">
      <alignment horizontal="center" vertical="bottom" textRotation="0" wrapText="false" indent="0" shrinkToFit="false"/>
      <protection locked="true" hidden="false"/>
    </xf>
    <xf numFmtId="164" fontId="6" fillId="2" borderId="21" xfId="0" applyFont="true" applyBorder="true" applyAlignment="true" applyProtection="false">
      <alignment horizontal="center" vertical="bottom" textRotation="0" wrapText="false" indent="0" shrinkToFit="false"/>
      <protection locked="true" hidden="false"/>
    </xf>
    <xf numFmtId="164" fontId="6" fillId="2" borderId="26" xfId="0" applyFont="true" applyBorder="true" applyAlignment="true" applyProtection="false">
      <alignment horizontal="center" vertical="bottom" textRotation="0" wrapText="false" indent="0" shrinkToFit="false"/>
      <protection locked="true" hidden="false"/>
    </xf>
    <xf numFmtId="167" fontId="6" fillId="2" borderId="19" xfId="0" applyFont="true" applyBorder="true" applyAlignment="true" applyProtection="false">
      <alignment horizontal="center" vertical="bottom" textRotation="0" wrapText="false" indent="0" shrinkToFit="false"/>
      <protection locked="true" hidden="false"/>
    </xf>
    <xf numFmtId="167" fontId="6" fillId="2" borderId="21"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27"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6" fontId="8" fillId="0" borderId="4" xfId="0" applyFont="true" applyBorder="true" applyAlignment="true" applyProtection="false">
      <alignment horizontal="center" vertical="bottom" textRotation="0" wrapText="false" indent="0" shrinkToFit="false"/>
      <protection locked="true" hidden="false"/>
    </xf>
    <xf numFmtId="171" fontId="6" fillId="0" borderId="5" xfId="0" applyFont="true" applyBorder="true" applyAlignment="true" applyProtection="false">
      <alignment horizontal="center" vertical="bottom" textRotation="0" wrapText="false" indent="0" shrinkToFit="false"/>
      <protection locked="true" hidden="false"/>
    </xf>
    <xf numFmtId="168" fontId="6" fillId="0" borderId="3" xfId="0" applyFont="true" applyBorder="true" applyAlignment="true" applyProtection="false">
      <alignment horizontal="center" vertical="bottom" textRotation="0" wrapText="false" indent="0" shrinkToFit="false"/>
      <protection locked="true" hidden="false"/>
    </xf>
    <xf numFmtId="167" fontId="6" fillId="0" borderId="2" xfId="0" applyFont="true" applyBorder="true" applyAlignment="true" applyProtection="false">
      <alignment horizontal="center" vertical="bottom" textRotation="0" wrapText="false" indent="0" shrinkToFit="false"/>
      <protection locked="true" hidden="false"/>
    </xf>
    <xf numFmtId="167" fontId="6" fillId="0" borderId="21" xfId="0" applyFont="true" applyBorder="true" applyAlignment="true" applyProtection="false">
      <alignment horizontal="center" vertical="bottom" textRotation="0" wrapText="false" indent="0" shrinkToFit="false"/>
      <protection locked="true" hidden="false"/>
    </xf>
    <xf numFmtId="167" fontId="6" fillId="0" borderId="5"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6" fillId="0" borderId="28"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0" borderId="29"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8" fontId="6" fillId="3" borderId="0" xfId="0" applyFont="true" applyBorder="false" applyAlignment="true" applyProtection="false">
      <alignment horizontal="center" vertical="bottom" textRotation="0" wrapText="false" indent="0" shrinkToFit="false"/>
      <protection locked="true" hidden="false"/>
    </xf>
    <xf numFmtId="175" fontId="6" fillId="3" borderId="0" xfId="0" applyFont="true" applyBorder="false" applyAlignment="true" applyProtection="false">
      <alignment horizontal="center" vertical="bottom" textRotation="0" wrapText="false" indent="0" shrinkToFit="false"/>
      <protection locked="true" hidden="false"/>
    </xf>
    <xf numFmtId="164" fontId="6" fillId="2" borderId="30" xfId="0" applyFont="true" applyBorder="true" applyAlignment="true" applyProtection="false">
      <alignment horizontal="center" vertical="bottom" textRotation="0" wrapText="false" indent="0" shrinkToFit="false"/>
      <protection locked="true" hidden="false"/>
    </xf>
    <xf numFmtId="164" fontId="6" fillId="0" borderId="18" xfId="0" applyFont="true" applyBorder="true" applyAlignment="true" applyProtection="false">
      <alignment horizontal="general" vertical="top" textRotation="0" wrapText="tru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6" fillId="0" borderId="29" xfId="0" applyFont="true" applyBorder="true" applyAlignment="false" applyProtection="false">
      <alignment horizontal="general" vertical="bottom" textRotation="0" wrapText="false" indent="0" shrinkToFit="false"/>
      <protection locked="true" hidden="false"/>
    </xf>
    <xf numFmtId="166" fontId="6" fillId="0" borderId="31" xfId="0" applyFont="true" applyBorder="true" applyAlignment="true" applyProtection="false">
      <alignment horizontal="center" vertical="bottom" textRotation="0" wrapText="false" indent="0" shrinkToFit="false"/>
      <protection locked="true" hidden="false"/>
    </xf>
    <xf numFmtId="164" fontId="6" fillId="0" borderId="32"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71" fontId="6" fillId="0" borderId="1" xfId="0" applyFont="true" applyBorder="true" applyAlignment="true" applyProtection="false">
      <alignment horizontal="general" vertical="top" textRotation="0" wrapText="true" indent="0" shrinkToFit="false"/>
      <protection locked="true" hidden="false"/>
    </xf>
    <xf numFmtId="164" fontId="6" fillId="0" borderId="13" xfId="0" applyFont="true" applyBorder="true" applyAlignment="true" applyProtection="false">
      <alignment horizontal="general" vertical="top" textRotation="0" wrapText="true" indent="0" shrinkToFit="false"/>
      <protection locked="true" hidden="false"/>
    </xf>
    <xf numFmtId="164" fontId="6" fillId="0" borderId="13"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8" fontId="7" fillId="2" borderId="1" xfId="0" applyFont="true" applyBorder="true" applyAlignment="true" applyProtection="false">
      <alignment horizontal="center"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71" fontId="7" fillId="2" borderId="1" xfId="0" applyFont="true" applyBorder="true" applyAlignment="false" applyProtection="false">
      <alignment horizontal="general" vertical="bottom" textRotation="0" wrapText="false" indent="0" shrinkToFit="false"/>
      <protection locked="true" hidden="false"/>
    </xf>
    <xf numFmtId="166" fontId="6" fillId="3" borderId="1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71" fontId="6" fillId="0" borderId="1" xfId="0" applyFont="true" applyBorder="true" applyAlignment="true" applyProtection="false">
      <alignment horizontal="center" vertical="bottom" textRotation="0" wrapText="false" indent="0" shrinkToFit="false"/>
      <protection locked="true" hidden="false"/>
    </xf>
    <xf numFmtId="172" fontId="6" fillId="0" borderId="1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71" fontId="6" fillId="2"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7" fontId="7" fillId="2"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72" fontId="6" fillId="5" borderId="1" xfId="0" applyFont="true" applyBorder="true" applyAlignment="true" applyProtection="false">
      <alignment horizontal="center" vertical="bottom" textRotation="0" wrapText="false" indent="0" shrinkToFit="false"/>
      <protection locked="true" hidden="false"/>
    </xf>
    <xf numFmtId="169" fontId="6" fillId="5"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true" applyProtection="false">
      <alignment horizontal="center" vertical="bottom" textRotation="0" wrapText="false" indent="0" shrinkToFit="false"/>
      <protection locked="true" hidden="false"/>
    </xf>
    <xf numFmtId="166" fontId="6" fillId="5" borderId="1" xfId="0" applyFont="true" applyBorder="true" applyAlignment="true" applyProtection="false">
      <alignment horizontal="center" vertical="bottom" textRotation="0" wrapText="false" indent="0" shrinkToFit="false"/>
      <protection locked="true" hidden="false"/>
    </xf>
    <xf numFmtId="171" fontId="6" fillId="5"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6" fontId="20" fillId="6" borderId="1" xfId="0" applyFont="true" applyBorder="true" applyAlignment="true" applyProtection="false">
      <alignment horizontal="general" vertical="top" textRotation="0" wrapText="true" indent="0" shrinkToFit="false"/>
      <protection locked="true" hidden="false"/>
    </xf>
    <xf numFmtId="168" fontId="20" fillId="6" borderId="1" xfId="0" applyFont="true" applyBorder="true" applyAlignment="true" applyProtection="false">
      <alignment horizontal="general" vertical="top" textRotation="0" wrapText="true" indent="0" shrinkToFit="false"/>
      <protection locked="true" hidden="false"/>
    </xf>
    <xf numFmtId="176" fontId="20" fillId="6" borderId="1" xfId="0" applyFont="true" applyBorder="true" applyAlignment="true" applyProtection="false">
      <alignment horizontal="general" vertical="top" textRotation="0" wrapText="true" indent="0" shrinkToFit="false"/>
      <protection locked="true" hidden="false"/>
    </xf>
    <xf numFmtId="164" fontId="20" fillId="6" borderId="12" xfId="0" applyFont="true" applyBorder="true" applyAlignment="true" applyProtection="false">
      <alignment horizontal="left" vertical="top" textRotation="0" wrapText="true" indent="0" shrinkToFit="false"/>
      <protection locked="true" hidden="false"/>
    </xf>
    <xf numFmtId="166" fontId="20" fillId="6" borderId="12" xfId="0" applyFont="true" applyBorder="true" applyAlignment="true" applyProtection="false">
      <alignment horizontal="general" vertical="top" textRotation="0" wrapText="true" indent="0" shrinkToFit="false"/>
      <protection locked="true" hidden="false"/>
    </xf>
    <xf numFmtId="168" fontId="20" fillId="6" borderId="12" xfId="0" applyFont="true" applyBorder="true" applyAlignment="true" applyProtection="false">
      <alignment horizontal="general" vertical="top" textRotation="0" wrapText="true" indent="0" shrinkToFit="false"/>
      <protection locked="true" hidden="false"/>
    </xf>
    <xf numFmtId="176" fontId="20" fillId="6" borderId="12" xfId="0" applyFont="true" applyBorder="true" applyAlignment="true" applyProtection="false">
      <alignment horizontal="general" vertical="top" textRotation="0" wrapText="true" indent="0" shrinkToFit="false"/>
      <protection locked="true" hidden="false"/>
    </xf>
    <xf numFmtId="164" fontId="20" fillId="6" borderId="12" xfId="0" applyFont="true" applyBorder="true" applyAlignment="true" applyProtection="false">
      <alignment horizontal="general" vertical="top" textRotation="0" wrapText="true" indent="0" shrinkToFit="false"/>
      <protection locked="true" hidden="false"/>
    </xf>
    <xf numFmtId="164" fontId="0" fillId="0" borderId="33" xfId="0" applyFont="false" applyBorder="true" applyAlignment="false" applyProtection="false">
      <alignment horizontal="general" vertical="bottom" textRotation="0" wrapText="false" indent="0" shrinkToFit="false"/>
      <protection locked="true" hidden="false"/>
    </xf>
    <xf numFmtId="164" fontId="0" fillId="0" borderId="34" xfId="0" applyFont="true" applyBorder="true" applyAlignment="false" applyProtection="false">
      <alignment horizontal="general" vertical="bottom" textRotation="0" wrapText="false" indent="0" shrinkToFit="false"/>
      <protection locked="true" hidden="false"/>
    </xf>
    <xf numFmtId="166" fontId="0" fillId="0" borderId="34" xfId="0" applyFont="false" applyBorder="true" applyAlignment="false" applyProtection="false">
      <alignment horizontal="general" vertical="bottom" textRotation="0" wrapText="false" indent="0" shrinkToFit="false"/>
      <protection locked="true" hidden="false"/>
    </xf>
    <xf numFmtId="168" fontId="0" fillId="0" borderId="34" xfId="0" applyFont="false" applyBorder="true" applyAlignment="false" applyProtection="false">
      <alignment horizontal="general" vertical="bottom" textRotation="0" wrapText="false" indent="0" shrinkToFit="false"/>
      <protection locked="true" hidden="false"/>
    </xf>
    <xf numFmtId="176" fontId="0" fillId="0" borderId="34" xfId="0" applyFont="false" applyBorder="true" applyAlignment="false" applyProtection="false">
      <alignment horizontal="general" vertical="bottom" textRotation="0" wrapText="false" indent="0" shrinkToFit="false"/>
      <protection locked="true" hidden="false"/>
    </xf>
    <xf numFmtId="168" fontId="0" fillId="0" borderId="35" xfId="0" applyFont="false" applyBorder="true" applyAlignment="false" applyProtection="false">
      <alignment horizontal="general"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76" fontId="0" fillId="0" borderId="1" xfId="0" applyFont="false" applyBorder="true" applyAlignment="false" applyProtection="false">
      <alignment horizontal="general" vertical="bottom" textRotation="0" wrapText="false" indent="0" shrinkToFit="false"/>
      <protection locked="true" hidden="false"/>
    </xf>
    <xf numFmtId="168" fontId="0" fillId="0" borderId="37" xfId="0" applyFont="false" applyBorder="true" applyAlignment="false" applyProtection="false">
      <alignment horizontal="general" vertical="bottom" textRotation="0" wrapText="false" indent="0" shrinkToFit="false"/>
      <protection locked="true" hidden="false"/>
    </xf>
    <xf numFmtId="168" fontId="0" fillId="0" borderId="13" xfId="0" applyFont="false" applyBorder="true" applyAlignment="false" applyProtection="false">
      <alignment horizontal="general" vertical="bottom" textRotation="0" wrapText="false" indent="0" shrinkToFit="false"/>
      <protection locked="true" hidden="false"/>
    </xf>
    <xf numFmtId="176" fontId="0" fillId="0" borderId="13"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7" borderId="36" xfId="0" applyFont="fals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0" fillId="7" borderId="1" xfId="0" applyFont="false" applyBorder="true" applyAlignment="false" applyProtection="false">
      <alignment horizontal="general" vertical="bottom" textRotation="0" wrapText="false" indent="0" shrinkToFit="false"/>
      <protection locked="true" hidden="false"/>
    </xf>
    <xf numFmtId="176" fontId="0" fillId="7" borderId="1" xfId="0" applyFont="false" applyBorder="true" applyAlignment="false" applyProtection="false">
      <alignment horizontal="general" vertical="bottom" textRotation="0" wrapText="false" indent="0" shrinkToFit="false"/>
      <protection locked="true" hidden="false"/>
    </xf>
    <xf numFmtId="168" fontId="0" fillId="7" borderId="37" xfId="0" applyFont="false" applyBorder="true" applyAlignment="false" applyProtection="false">
      <alignment horizontal="general" vertical="bottom" textRotation="0" wrapText="false" indent="0" shrinkToFit="false"/>
      <protection locked="true" hidden="false"/>
    </xf>
    <xf numFmtId="168" fontId="0" fillId="7" borderId="13" xfId="0" applyFont="false" applyBorder="true" applyAlignment="false" applyProtection="false">
      <alignment horizontal="general" vertical="bottom" textRotation="0" wrapText="false" indent="0" shrinkToFit="false"/>
      <protection locked="true" hidden="false"/>
    </xf>
    <xf numFmtId="164" fontId="0" fillId="7" borderId="38" xfId="0" applyFont="false" applyBorder="true" applyAlignment="false" applyProtection="false">
      <alignment horizontal="general" vertical="bottom" textRotation="0" wrapText="false" indent="0" shrinkToFit="false"/>
      <protection locked="true" hidden="false"/>
    </xf>
    <xf numFmtId="164" fontId="0" fillId="7" borderId="12" xfId="0" applyFont="true" applyBorder="true" applyAlignment="false" applyProtection="false">
      <alignment horizontal="general" vertical="bottom" textRotation="0" wrapText="false" indent="0" shrinkToFit="false"/>
      <protection locked="true" hidden="false"/>
    </xf>
    <xf numFmtId="166" fontId="0" fillId="7" borderId="12" xfId="0" applyFont="false" applyBorder="true" applyAlignment="false" applyProtection="false">
      <alignment horizontal="general" vertical="bottom" textRotation="0" wrapText="false" indent="0" shrinkToFit="false"/>
      <protection locked="true" hidden="false"/>
    </xf>
    <xf numFmtId="168" fontId="0" fillId="7" borderId="12" xfId="0" applyFont="false" applyBorder="true" applyAlignment="false" applyProtection="false">
      <alignment horizontal="general" vertical="bottom" textRotation="0" wrapText="false" indent="0" shrinkToFit="false"/>
      <protection locked="true" hidden="false"/>
    </xf>
    <xf numFmtId="176" fontId="0" fillId="7" borderId="12" xfId="0" applyFont="false" applyBorder="true" applyAlignment="false" applyProtection="false">
      <alignment horizontal="general" vertical="bottom" textRotation="0" wrapText="false" indent="0" shrinkToFit="false"/>
      <protection locked="true" hidden="false"/>
    </xf>
    <xf numFmtId="168" fontId="0" fillId="7" borderId="39"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8" fontId="0" fillId="0" borderId="41" xfId="0" applyFont="false" applyBorder="true" applyAlignment="false" applyProtection="false">
      <alignment horizontal="general" vertical="bottom" textRotation="0" wrapText="false" indent="0" shrinkToFit="false"/>
      <protection locked="true" hidden="false"/>
    </xf>
    <xf numFmtId="164" fontId="0" fillId="0" borderId="42" xfId="0" applyFont="false" applyBorder="true" applyAlignment="false" applyProtection="false">
      <alignment horizontal="general" vertical="bottom" textRotation="0" wrapText="false" indent="0" shrinkToFit="false"/>
      <protection locked="true" hidden="false"/>
    </xf>
    <xf numFmtId="164" fontId="0" fillId="0" borderId="43" xfId="0" applyFont="true" applyBorder="true" applyAlignment="false" applyProtection="false">
      <alignment horizontal="general" vertical="bottom" textRotation="0" wrapText="false" indent="0" shrinkToFit="false"/>
      <protection locked="true" hidden="false"/>
    </xf>
    <xf numFmtId="166" fontId="0" fillId="0" borderId="43" xfId="0" applyFont="false" applyBorder="true" applyAlignment="false" applyProtection="false">
      <alignment horizontal="general" vertical="bottom" textRotation="0" wrapText="false" indent="0" shrinkToFit="false"/>
      <protection locked="true" hidden="false"/>
    </xf>
    <xf numFmtId="168" fontId="0" fillId="0" borderId="20" xfId="0" applyFont="false" applyBorder="true" applyAlignment="false" applyProtection="false">
      <alignment horizontal="general" vertical="bottom" textRotation="0" wrapText="false" indent="0" shrinkToFit="false"/>
      <protection locked="true" hidden="false"/>
    </xf>
    <xf numFmtId="176" fontId="0" fillId="0" borderId="20" xfId="0" applyFont="false" applyBorder="true" applyAlignment="false" applyProtection="false">
      <alignment horizontal="general" vertical="bottom" textRotation="0" wrapText="false" indent="0" shrinkToFit="false"/>
      <protection locked="true" hidden="false"/>
    </xf>
    <xf numFmtId="168" fontId="0" fillId="0" borderId="21" xfId="0" applyFont="false" applyBorder="true" applyAlignment="false" applyProtection="false">
      <alignment horizontal="general" vertical="bottom" textRotation="0" wrapText="false" indent="0" shrinkToFit="false"/>
      <protection locked="true" hidden="false"/>
    </xf>
    <xf numFmtId="164" fontId="0" fillId="8" borderId="36" xfId="0" applyFont="fals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false" applyProtection="false">
      <alignment horizontal="general" vertical="bottom" textRotation="0" wrapText="false" indent="0" shrinkToFit="false"/>
      <protection locked="true" hidden="false"/>
    </xf>
    <xf numFmtId="166" fontId="0" fillId="8" borderId="1" xfId="0" applyFont="false" applyBorder="true" applyAlignment="false" applyProtection="false">
      <alignment horizontal="general" vertical="bottom" textRotation="0" wrapText="false" indent="0" shrinkToFit="false"/>
      <protection locked="true" hidden="false"/>
    </xf>
    <xf numFmtId="168" fontId="0" fillId="8" borderId="1" xfId="0" applyFont="false" applyBorder="true" applyAlignment="false" applyProtection="false">
      <alignment horizontal="general" vertical="bottom" textRotation="0" wrapText="false" indent="0" shrinkToFit="false"/>
      <protection locked="true" hidden="false"/>
    </xf>
    <xf numFmtId="176" fontId="0" fillId="8" borderId="1" xfId="0" applyFont="false" applyBorder="true" applyAlignment="false" applyProtection="false">
      <alignment horizontal="general" vertical="bottom" textRotation="0" wrapText="false" indent="0" shrinkToFit="false"/>
      <protection locked="true" hidden="false"/>
    </xf>
    <xf numFmtId="168" fontId="0" fillId="8" borderId="37" xfId="0" applyFont="false" applyBorder="true" applyAlignment="false" applyProtection="false">
      <alignment horizontal="general" vertical="bottom" textRotation="0" wrapText="false" indent="0" shrinkToFit="false"/>
      <protection locked="true" hidden="false"/>
    </xf>
    <xf numFmtId="164" fontId="0" fillId="9" borderId="44" xfId="0" applyFont="false" applyBorder="true" applyAlignment="false" applyProtection="false">
      <alignment horizontal="general" vertical="bottom" textRotation="0" wrapText="false" indent="0" shrinkToFit="false"/>
      <protection locked="true" hidden="false"/>
    </xf>
    <xf numFmtId="164" fontId="0" fillId="9" borderId="43" xfId="0" applyFont="true" applyBorder="true" applyAlignment="false" applyProtection="false">
      <alignment horizontal="general" vertical="bottom" textRotation="0" wrapText="false" indent="0" shrinkToFit="false"/>
      <protection locked="true" hidden="false"/>
    </xf>
    <xf numFmtId="166" fontId="0" fillId="9" borderId="43" xfId="0" applyFont="false" applyBorder="true" applyAlignment="false" applyProtection="false">
      <alignment horizontal="general" vertical="bottom" textRotation="0" wrapText="false" indent="0" shrinkToFit="false"/>
      <protection locked="true" hidden="false"/>
    </xf>
    <xf numFmtId="168" fontId="0" fillId="9" borderId="43" xfId="0" applyFont="false" applyBorder="true" applyAlignment="false" applyProtection="false">
      <alignment horizontal="general" vertical="bottom" textRotation="0" wrapText="false" indent="0" shrinkToFit="false"/>
      <protection locked="true" hidden="false"/>
    </xf>
    <xf numFmtId="176" fontId="0" fillId="9" borderId="43" xfId="0" applyFont="false" applyBorder="true" applyAlignment="false" applyProtection="false">
      <alignment horizontal="general" vertical="bottom" textRotation="0" wrapText="false" indent="0" shrinkToFit="false"/>
      <protection locked="true" hidden="false"/>
    </xf>
    <xf numFmtId="168" fontId="0" fillId="9" borderId="45" xfId="0" applyFont="false" applyBorder="true" applyAlignment="false" applyProtection="false">
      <alignment horizontal="general" vertical="bottom" textRotation="0" wrapText="false" indent="0" shrinkToFit="false"/>
      <protection locked="true" hidden="false"/>
    </xf>
    <xf numFmtId="164" fontId="0" fillId="10" borderId="44" xfId="0" applyFont="false" applyBorder="true" applyAlignment="false" applyProtection="false">
      <alignment horizontal="general" vertical="bottom" textRotation="0" wrapText="false" indent="0" shrinkToFit="false"/>
      <protection locked="true" hidden="false"/>
    </xf>
    <xf numFmtId="164" fontId="0" fillId="10" borderId="43" xfId="0" applyFont="true" applyBorder="true" applyAlignment="false" applyProtection="false">
      <alignment horizontal="general" vertical="bottom" textRotation="0" wrapText="false" indent="0" shrinkToFit="false"/>
      <protection locked="true" hidden="false"/>
    </xf>
    <xf numFmtId="166" fontId="0" fillId="10" borderId="43" xfId="0" applyFont="false" applyBorder="true" applyAlignment="false" applyProtection="false">
      <alignment horizontal="general" vertical="bottom" textRotation="0" wrapText="false" indent="0" shrinkToFit="false"/>
      <protection locked="true" hidden="false"/>
    </xf>
    <xf numFmtId="168" fontId="0" fillId="10" borderId="43" xfId="0" applyFont="false" applyBorder="true" applyAlignment="false" applyProtection="false">
      <alignment horizontal="general" vertical="bottom" textRotation="0" wrapText="false" indent="0" shrinkToFit="false"/>
      <protection locked="true" hidden="false"/>
    </xf>
    <xf numFmtId="176" fontId="0" fillId="10" borderId="43" xfId="0" applyFont="false" applyBorder="true" applyAlignment="false" applyProtection="false">
      <alignment horizontal="general" vertical="bottom" textRotation="0" wrapText="false" indent="0" shrinkToFit="false"/>
      <protection locked="true" hidden="false"/>
    </xf>
    <xf numFmtId="168" fontId="0" fillId="10" borderId="45" xfId="0" applyFont="false" applyBorder="true" applyAlignment="false" applyProtection="false">
      <alignment horizontal="general" vertical="bottom" textRotation="0" wrapText="false" indent="0" shrinkToFit="false"/>
      <protection locked="true" hidden="false"/>
    </xf>
    <xf numFmtId="164" fontId="0" fillId="9" borderId="13" xfId="0" applyFont="false" applyBorder="true" applyAlignment="false" applyProtection="false">
      <alignment horizontal="general"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6" fontId="0" fillId="9" borderId="1" xfId="0" applyFont="false" applyBorder="true" applyAlignment="false" applyProtection="false">
      <alignment horizontal="general" vertical="bottom" textRotation="0" wrapText="false" indent="0" shrinkToFit="false"/>
      <protection locked="true" hidden="false"/>
    </xf>
    <xf numFmtId="168" fontId="0" fillId="9" borderId="13" xfId="0" applyFont="fals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9" fontId="0" fillId="0" borderId="0" xfId="0" applyFont="false" applyBorder="false" applyAlignment="true" applyProtection="false">
      <alignment horizontal="general" vertical="center" textRotation="0" wrapText="true" indent="0" shrinkToFit="false"/>
      <protection locked="true" hidden="false"/>
    </xf>
    <xf numFmtId="176" fontId="6" fillId="0" borderId="0" xfId="0" applyFont="true" applyBorder="false" applyAlignment="true" applyProtection="false">
      <alignment horizontal="right" vertical="bottom" textRotation="0" wrapText="false" indent="0" shrinkToFit="false"/>
      <protection locked="true" hidden="false"/>
    </xf>
    <xf numFmtId="176" fontId="6" fillId="0" borderId="1" xfId="0" applyFont="true" applyBorder="true" applyAlignment="true" applyProtection="false">
      <alignment horizontal="right" vertical="bottom" textRotation="0" wrapText="false" indent="0" shrinkToFit="false"/>
      <protection locked="true" hidden="false"/>
    </xf>
    <xf numFmtId="164" fontId="6" fillId="0" borderId="10" xfId="0" applyFont="true" applyBorder="true" applyAlignment="true" applyProtection="false">
      <alignment horizontal="general" vertical="top" textRotation="0" wrapText="true" indent="0" shrinkToFit="false"/>
      <protection locked="true" hidden="false"/>
    </xf>
    <xf numFmtId="176" fontId="6" fillId="0" borderId="22" xfId="0" applyFont="true" applyBorder="true" applyAlignment="true" applyProtection="false">
      <alignment horizontal="right" vertical="top" textRotation="0" wrapText="true" indent="0" shrinkToFit="false"/>
      <protection locked="true" hidden="false"/>
    </xf>
    <xf numFmtId="164" fontId="6" fillId="0" borderId="46" xfId="0" applyFont="true" applyBorder="true" applyAlignment="true" applyProtection="false">
      <alignment horizontal="general" vertical="top" textRotation="0" wrapText="true" indent="0" shrinkToFit="false"/>
      <protection locked="true" hidden="false"/>
    </xf>
    <xf numFmtId="164" fontId="7" fillId="2" borderId="39" xfId="0" applyFont="true" applyBorder="true" applyAlignment="false" applyProtection="false">
      <alignment horizontal="general" vertical="bottom" textRotation="0" wrapText="false" indent="0" shrinkToFit="false"/>
      <protection locked="true" hidden="false"/>
    </xf>
    <xf numFmtId="176" fontId="7" fillId="2" borderId="30" xfId="0" applyFont="true" applyBorder="true" applyAlignment="true" applyProtection="false">
      <alignment horizontal="right" vertical="bottom" textRotation="0" wrapText="false" indent="0" shrinkToFit="false"/>
      <protection locked="true" hidden="false"/>
    </xf>
    <xf numFmtId="164" fontId="7" fillId="2" borderId="47" xfId="0" applyFont="tru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76" fontId="6" fillId="0" borderId="0" xfId="0" applyFont="true" applyBorder="false" applyAlignment="false" applyProtection="false">
      <alignment horizontal="general" vertical="bottom" textRotation="0" wrapText="false" indent="0" shrinkToFit="false"/>
      <protection locked="true" hidden="false"/>
    </xf>
    <xf numFmtId="169" fontId="6" fillId="0" borderId="16" xfId="0" applyFont="true" applyBorder="true" applyAlignment="true" applyProtection="false">
      <alignment horizontal="center" vertical="bottom" textRotation="0" wrapText="false" indent="0" shrinkToFit="false"/>
      <protection locked="true" hidden="false"/>
    </xf>
    <xf numFmtId="175" fontId="6" fillId="6" borderId="0" xfId="0" applyFont="true" applyBorder="false" applyAlignment="false" applyProtection="false">
      <alignment horizontal="general" vertical="bottom" textRotation="0" wrapText="false" indent="0" shrinkToFit="false"/>
      <protection locked="true" hidden="false"/>
    </xf>
    <xf numFmtId="164" fontId="6" fillId="0" borderId="41"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76" fontId="6" fillId="11" borderId="28" xfId="0" applyFont="true" applyBorder="true" applyAlignment="true" applyProtection="false">
      <alignment horizontal="right" vertical="bottom" textRotation="0" wrapText="false" indent="0" shrinkToFit="false"/>
      <protection locked="true" hidden="false"/>
    </xf>
    <xf numFmtId="169" fontId="6" fillId="0" borderId="48" xfId="0" applyFont="true" applyBorder="true" applyAlignment="true" applyProtection="false">
      <alignment horizontal="center" vertical="bottom" textRotation="0" wrapText="false" indent="0" shrinkToFit="false"/>
      <protection locked="true" hidden="false"/>
    </xf>
    <xf numFmtId="164" fontId="6" fillId="11" borderId="0" xfId="0" applyFont="true" applyBorder="false" applyAlignment="false" applyProtection="false">
      <alignment horizontal="general" vertical="bottom" textRotation="0" wrapText="false" indent="0" shrinkToFit="false"/>
      <protection locked="true" hidden="false"/>
    </xf>
    <xf numFmtId="164" fontId="7" fillId="2" borderId="39" xfId="0" applyFont="true" applyBorder="true" applyAlignment="true" applyProtection="false">
      <alignment horizontal="general" vertical="bottom" textRotation="0" wrapText="true" indent="0" shrinkToFit="false"/>
      <protection locked="true" hidden="false"/>
    </xf>
    <xf numFmtId="164" fontId="6" fillId="2" borderId="47" xfId="0" applyFont="true" applyBorder="true" applyAlignment="true" applyProtection="false">
      <alignment horizontal="center" vertical="bottom" textRotation="0" wrapText="false" indent="0" shrinkToFit="false"/>
      <protection locked="true" hidden="false"/>
    </xf>
    <xf numFmtId="164" fontId="6" fillId="0" borderId="16" xfId="0" applyFont="true" applyBorder="true" applyAlignment="true" applyProtection="false">
      <alignment horizontal="center" vertical="bottom" textRotation="0" wrapText="false" indent="0" shrinkToFit="false"/>
      <protection locked="true" hidden="false"/>
    </xf>
    <xf numFmtId="176" fontId="6" fillId="0" borderId="28" xfId="0" applyFont="true" applyBorder="true" applyAlignment="true" applyProtection="false">
      <alignment horizontal="right" vertical="bottom" textRotation="0" wrapText="false" indent="0" shrinkToFit="false"/>
      <protection locked="true" hidden="false"/>
    </xf>
    <xf numFmtId="164" fontId="6" fillId="0" borderId="48" xfId="0" applyFont="true" applyBorder="true" applyAlignment="true" applyProtection="false">
      <alignment horizontal="center" vertical="bottom" textRotation="0" wrapText="false" indent="0" shrinkToFit="false"/>
      <protection locked="true" hidden="false"/>
    </xf>
    <xf numFmtId="176" fontId="22" fillId="2" borderId="30" xfId="0" applyFont="true" applyBorder="true" applyAlignment="true" applyProtection="false">
      <alignment horizontal="right" vertical="bottom" textRotation="0" wrapText="true" indent="0" shrinkToFit="false"/>
      <protection locked="true" hidden="false"/>
    </xf>
    <xf numFmtId="164" fontId="6" fillId="0" borderId="21" xfId="0" applyFont="true" applyBorder="true" applyAlignment="false" applyProtection="false">
      <alignment horizontal="general" vertical="bottom" textRotation="0" wrapText="false" indent="0" shrinkToFit="false"/>
      <protection locked="true" hidden="false"/>
    </xf>
    <xf numFmtId="176" fontId="6" fillId="0" borderId="18" xfId="0" applyFont="true" applyBorder="true" applyAlignment="true" applyProtection="false">
      <alignment horizontal="right" vertical="bottom" textRotation="0" wrapText="false" indent="0" shrinkToFit="false"/>
      <protection locked="true" hidden="false"/>
    </xf>
    <xf numFmtId="164" fontId="6" fillId="0" borderId="49" xfId="0" applyFont="true" applyBorder="true" applyAlignment="true" applyProtection="false">
      <alignment horizontal="center" vertical="bottom" textRotation="0" wrapText="false" indent="0" shrinkToFit="false"/>
      <protection locked="true" hidden="false"/>
    </xf>
    <xf numFmtId="176" fontId="6" fillId="0" borderId="3" xfId="0" applyFont="true" applyBorder="true" applyAlignment="true" applyProtection="false">
      <alignment horizontal="right" vertical="top" textRotation="0" wrapText="true" indent="0" shrinkToFit="false"/>
      <protection locked="true" hidden="false"/>
    </xf>
    <xf numFmtId="176" fontId="7" fillId="2" borderId="0" xfId="0" applyFont="true" applyBorder="false" applyAlignment="true" applyProtection="false">
      <alignment horizontal="right" vertical="bottom" textRotation="0" wrapText="false" indent="0" shrinkToFit="false"/>
      <protection locked="true" hidden="false"/>
    </xf>
    <xf numFmtId="164" fontId="7" fillId="2" borderId="16" xfId="0" applyFont="tru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true" applyProtection="false">
      <alignment horizontal="general" vertical="bottom" textRotation="0" wrapText="true" indent="0" shrinkToFit="false"/>
      <protection locked="true" hidden="false"/>
    </xf>
    <xf numFmtId="164" fontId="6" fillId="0" borderId="41" xfId="0" applyFont="true" applyBorder="true" applyAlignment="true" applyProtection="false">
      <alignment horizontal="general" vertical="bottom" textRotation="0" wrapText="true" indent="0" shrinkToFit="false"/>
      <protection locked="true" hidden="false"/>
    </xf>
    <xf numFmtId="176" fontId="22" fillId="2" borderId="0" xfId="0" applyFont="true" applyBorder="false" applyAlignment="true" applyProtection="false">
      <alignment horizontal="right" vertical="bottom" textRotation="0" wrapText="true" indent="0" shrinkToFit="false"/>
      <protection locked="true" hidden="false"/>
    </xf>
    <xf numFmtId="164" fontId="6" fillId="2" borderId="16" xfId="0" applyFont="true" applyBorder="true" applyAlignment="true" applyProtection="false">
      <alignment horizontal="center" vertical="bottom" textRotation="0" wrapText="false" indent="0" shrinkToFit="false"/>
      <protection locked="true" hidden="false"/>
    </xf>
    <xf numFmtId="169" fontId="22" fillId="2" borderId="0" xfId="0" applyFont="true" applyBorder="false" applyAlignment="true" applyProtection="false">
      <alignment horizontal="center" vertical="bottom" textRotation="0" wrapText="true" indent="0" shrinkToFit="false"/>
      <protection locked="true" hidden="false"/>
    </xf>
    <xf numFmtId="164" fontId="6" fillId="0" borderId="49" xfId="0" applyFont="true" applyBorder="true" applyAlignment="false" applyProtection="false">
      <alignment horizontal="general" vertical="bottom" textRotation="0" wrapText="false" indent="0" shrinkToFit="false"/>
      <protection locked="true" hidden="false"/>
    </xf>
    <xf numFmtId="169" fontId="6" fillId="0" borderId="49" xfId="0" applyFont="true" applyBorder="true" applyAlignment="true" applyProtection="false">
      <alignment horizontal="center" vertical="bottom" textRotation="0" wrapText="false" indent="0" shrinkToFit="false"/>
      <protection locked="true" hidden="false"/>
    </xf>
    <xf numFmtId="176" fontId="6" fillId="0" borderId="0" xfId="0" applyFont="true" applyBorder="false" applyAlignment="true" applyProtection="false">
      <alignment horizontal="right"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coinvent 1" xfId="20"/>
    <cellStyle name="Hyperlink 2" xfId="21"/>
  </cellStyles>
  <dxfs count="2">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97300"/>
      <rgbColor rgb="FF800080"/>
      <rgbColor rgb="FF255E91"/>
      <rgbColor rgb="FFBFBFBF"/>
      <rgbColor rgb="FF808080"/>
      <rgbColor rgb="FF5B9BD5"/>
      <rgbColor rgb="FF993366"/>
      <rgbColor rgb="FFFFF2CC"/>
      <rgbColor rgb="FFDEEBF7"/>
      <rgbColor rgb="FF660066"/>
      <rgbColor rgb="FFFF8080"/>
      <rgbColor rgb="FF0563C1"/>
      <rgbColor rgb="FFD0CECE"/>
      <rgbColor rgb="FF000080"/>
      <rgbColor rgb="FFFF00FF"/>
      <rgbColor rgb="FFFFD966"/>
      <rgbColor rgb="FF00FFFF"/>
      <rgbColor rgb="FF800080"/>
      <rgbColor rgb="FF800000"/>
      <rgbColor rgb="FF008080"/>
      <rgbColor rgb="FF0000FF"/>
      <rgbColor rgb="FF00CCFF"/>
      <rgbColor rgb="FFD9D9D9"/>
      <rgbColor rgb="FFE2F0D9"/>
      <rgbColor rgb="FFFBE5D6"/>
      <rgbColor rgb="FF99CCFF"/>
      <rgbColor rgb="FFFF99CC"/>
      <rgbColor rgb="FFCC99FF"/>
      <rgbColor rgb="FFFFC7CE"/>
      <rgbColor rgb="FF4472C4"/>
      <rgbColor rgb="FF33CCCC"/>
      <rgbColor rgb="FF99CC00"/>
      <rgbColor rgb="FFFFC000"/>
      <rgbColor rgb="FFFF9900"/>
      <rgbColor rgb="FFED7D31"/>
      <rgbColor rgb="FF595959"/>
      <rgbColor rgb="FFA5A5A5"/>
      <rgbColor rgb="FF003366"/>
      <rgbColor rgb="FF70AD47"/>
      <rgbColor rgb="FF003300"/>
      <rgbColor rgb="FF333300"/>
      <rgbColor rgb="FF9E480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400" spc="-1" strike="noStrike">
                <a:solidFill>
                  <a:srgbClr val="595959"/>
                </a:solidFill>
                <a:latin typeface="Calibri"/>
              </a:defRPr>
            </a:pPr>
            <a:r>
              <a:rPr b="0" lang="en-US" sz="2400" spc="-1" strike="noStrike">
                <a:solidFill>
                  <a:srgbClr val="595959"/>
                </a:solidFill>
                <a:latin typeface="Calibri"/>
              </a:rPr>
              <a:t>Comparison of non-renewable primary energy</a:t>
            </a:r>
          </a:p>
        </c:rich>
      </c:tx>
      <c:layout>
        <c:manualLayout>
          <c:xMode val="edge"/>
          <c:yMode val="edge"/>
          <c:x val="0.345937112588752"/>
          <c:y val="0.026842691697336"/>
        </c:manualLayout>
      </c:layout>
      <c:overlay val="0"/>
      <c:spPr>
        <a:noFill/>
        <a:ln w="0">
          <a:noFill/>
        </a:ln>
      </c:spPr>
    </c:title>
    <c:autoTitleDeleted val="0"/>
    <c:plotArea>
      <c:layout>
        <c:manualLayout>
          <c:layoutTarget val="inner"/>
          <c:xMode val="edge"/>
          <c:yMode val="edge"/>
          <c:x val="0.161895638453736"/>
          <c:y val="0.0855252051186818"/>
          <c:w val="0.804913783387806"/>
          <c:h val="0.624033494276936"/>
        </c:manualLayout>
      </c:layout>
      <c:barChart>
        <c:barDir val="col"/>
        <c:grouping val="stacked"/>
        <c:varyColors val="0"/>
        <c:ser>
          <c:idx val="0"/>
          <c:order val="0"/>
          <c:tx>
            <c:strRef>
              <c:f>'Gasoline and electric vehicles'!$P$6</c:f>
              <c:strCache>
                <c:ptCount val="1"/>
                <c:pt idx="0">
                  <c:v>Car manufacturing</c:v>
                </c:pt>
              </c:strCache>
            </c:strRef>
          </c:tx>
          <c:spPr>
            <a:solidFill>
              <a:srgbClr val="5b9bd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vehicles'!$Q$6:$U$6</c:f>
              <c:numCache>
                <c:formatCode>0.000</c:formatCode>
                <c:ptCount val="5"/>
                <c:pt idx="0">
                  <c:v>0.600217332352663</c:v>
                </c:pt>
                <c:pt idx="1">
                  <c:v>0.570112513067519</c:v>
                </c:pt>
                <c:pt idx="2">
                  <c:v>0.570112513067519</c:v>
                </c:pt>
                <c:pt idx="3">
                  <c:v>0.570112513067519</c:v>
                </c:pt>
                <c:pt idx="4">
                  <c:v>0.570112513067519</c:v>
                </c:pt>
              </c:numCache>
            </c:numRef>
          </c:val>
        </c:ser>
        <c:ser>
          <c:idx val="1"/>
          <c:order val="1"/>
          <c:tx>
            <c:strRef>
              <c:f>'Gasoline and electric vehicles'!$P$7</c:f>
              <c:strCache>
                <c:ptCount val="1"/>
                <c:pt idx="0">
                  <c:v>Car transportation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vehicles'!$Q$7:$U$7</c:f>
              <c:numCache>
                <c:formatCode>0.000</c:formatCode>
                <c:ptCount val="5"/>
                <c:pt idx="0">
                  <c:v>0.0125389571939137</c:v>
                </c:pt>
                <c:pt idx="1">
                  <c:v>0.00786719871797692</c:v>
                </c:pt>
                <c:pt idx="2">
                  <c:v>0.00786719871797692</c:v>
                </c:pt>
                <c:pt idx="3">
                  <c:v>0.00786719871797692</c:v>
                </c:pt>
                <c:pt idx="4">
                  <c:v>0.00786719871797692</c:v>
                </c:pt>
              </c:numCache>
            </c:numRef>
          </c:val>
        </c:ser>
        <c:ser>
          <c:idx val="2"/>
          <c:order val="2"/>
          <c:tx>
            <c:strRef>
              <c:f>'Gasoline and electric vehicles'!$P$8</c:f>
              <c:strCache>
                <c:ptCount val="1"/>
                <c:pt idx="0">
                  <c:v>Car disposal</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vehicles'!$Q$8:$U$8</c:f>
              <c:numCache>
                <c:formatCode>0.0000</c:formatCode>
                <c:ptCount val="5"/>
                <c:pt idx="0">
                  <c:v>0.000400192592704547</c:v>
                </c:pt>
                <c:pt idx="1">
                  <c:v>0.000236113081286349</c:v>
                </c:pt>
                <c:pt idx="2">
                  <c:v>0.000236113081286349</c:v>
                </c:pt>
                <c:pt idx="3">
                  <c:v>0.000236113081286349</c:v>
                </c:pt>
                <c:pt idx="4">
                  <c:v>0.000236113081286349</c:v>
                </c:pt>
              </c:numCache>
            </c:numRef>
          </c:val>
        </c:ser>
        <c:ser>
          <c:idx val="3"/>
          <c:order val="3"/>
          <c:tx>
            <c:strRef>
              <c:f>'Gasoline and electric vehicles'!$P$9</c:f>
              <c:strCache>
                <c:ptCount val="1"/>
                <c:pt idx="0">
                  <c:v>Petrol gas </c:v>
                </c:pt>
              </c:strCache>
            </c:strRef>
          </c:tx>
          <c:spPr>
            <a:solidFill>
              <a:srgbClr val="70ad47"/>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vehicles'!$Q$9:$U$9</c:f>
              <c:numCache>
                <c:formatCode>0.000</c:formatCode>
                <c:ptCount val="5"/>
                <c:pt idx="0">
                  <c:v>3.36766431365619</c:v>
                </c:pt>
              </c:numCache>
            </c:numRef>
          </c:val>
        </c:ser>
        <c:ser>
          <c:idx val="4"/>
          <c:order val="4"/>
          <c:tx>
            <c:strRef>
              <c:f>'Gasoline and electric vehicles'!$P$10</c:f>
              <c:strCache>
                <c:ptCount val="1"/>
                <c:pt idx="0">
                  <c:v>Electric charging - RER</c:v>
                </c:pt>
              </c:strCache>
            </c:strRef>
          </c:tx>
          <c:spPr>
            <a:solidFill>
              <a:srgbClr val="255e9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vehicles'!$Q$10:$U$10</c:f>
              <c:numCache>
                <c:formatCode>0.00</c:formatCode>
                <c:ptCount val="5"/>
                <c:pt idx="1">
                  <c:v>2.3577678925736</c:v>
                </c:pt>
              </c:numCache>
            </c:numRef>
          </c:val>
        </c:ser>
        <c:ser>
          <c:idx val="5"/>
          <c:order val="5"/>
          <c:tx>
            <c:strRef>
              <c:f>'Gasoline and electric vehicles'!$P$11</c:f>
              <c:strCache>
                <c:ptCount val="1"/>
                <c:pt idx="0">
                  <c:v>Electric charging - wind</c:v>
                </c:pt>
              </c:strCache>
            </c:strRef>
          </c:tx>
          <c:spPr>
            <a:solidFill>
              <a:srgbClr val="9e480e"/>
            </a:solidFill>
            <a:ln w="2556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vehicles'!$Q$11:$U$11</c:f>
              <c:numCache>
                <c:formatCode>0.00</c:formatCode>
                <c:ptCount val="5"/>
                <c:pt idx="2">
                  <c:v>0.0507162009939</c:v>
                </c:pt>
              </c:numCache>
            </c:numRef>
          </c:val>
        </c:ser>
        <c:ser>
          <c:idx val="6"/>
          <c:order val="6"/>
          <c:tx>
            <c:strRef>
              <c:f>'Gasoline and electric vehicles'!$P$12</c:f>
              <c:strCache>
                <c:ptCount val="1"/>
                <c:pt idx="0">
                  <c:v>Electric charging - photovoltaic</c:v>
                </c:pt>
              </c:strCache>
            </c:strRef>
          </c:tx>
          <c:spPr>
            <a:solidFill>
              <a:srgbClr val="ffc000"/>
            </a:solidFill>
            <a:ln w="2556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vehicles'!$Q$12:$U$12</c:f>
              <c:numCache>
                <c:formatCode>0.00</c:formatCode>
                <c:ptCount val="5"/>
                <c:pt idx="3">
                  <c:v>0.2668055741442</c:v>
                </c:pt>
              </c:numCache>
            </c:numRef>
          </c:val>
        </c:ser>
        <c:ser>
          <c:idx val="7"/>
          <c:order val="7"/>
          <c:tx>
            <c:strRef>
              <c:f>'Gasoline and electric vehicles'!$P$13</c:f>
              <c:strCache>
                <c:ptCount val="1"/>
                <c:pt idx="0">
                  <c:v>Electric charging - hard coal</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vehicles'!$Q$13:$U$13</c:f>
              <c:numCache>
                <c:formatCode>0.00</c:formatCode>
                <c:ptCount val="5"/>
                <c:pt idx="4">
                  <c:v>2.6881507061032</c:v>
                </c:pt>
              </c:numCache>
            </c:numRef>
          </c:val>
        </c:ser>
        <c:gapWidth val="150"/>
        <c:overlap val="100"/>
        <c:axId val="50349076"/>
        <c:axId val="44535365"/>
      </c:barChart>
      <c:catAx>
        <c:axId val="5034907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2000" spc="-1" strike="noStrike">
                <a:solidFill>
                  <a:srgbClr val="595959"/>
                </a:solidFill>
                <a:latin typeface="Calibri"/>
              </a:defRPr>
            </a:pPr>
          </a:p>
        </c:txPr>
        <c:crossAx val="44535365"/>
        <c:crossesAt val="-0.05"/>
        <c:auto val="1"/>
        <c:lblAlgn val="ctr"/>
        <c:lblOffset val="100"/>
        <c:noMultiLvlLbl val="0"/>
      </c:catAx>
      <c:valAx>
        <c:axId val="44535365"/>
        <c:scaling>
          <c:orientation val="minMax"/>
        </c:scaling>
        <c:delete val="0"/>
        <c:axPos val="l"/>
        <c:majorGridlines>
          <c:spPr>
            <a:ln w="9360">
              <a:solidFill>
                <a:srgbClr val="d9d9d9"/>
              </a:solidFill>
              <a:round/>
            </a:ln>
          </c:spPr>
        </c:majorGridlines>
        <c:title>
          <c:tx>
            <c:rich>
              <a:bodyPr rot="-5400000"/>
              <a:lstStyle/>
              <a:p>
                <a:pPr>
                  <a:defRPr b="0" lang="en-US" sz="2400" spc="-1" strike="noStrike">
                    <a:solidFill>
                      <a:srgbClr val="595959"/>
                    </a:solidFill>
                    <a:latin typeface="Calibri"/>
                  </a:defRPr>
                </a:pPr>
                <a:r>
                  <a:rPr b="0" lang="en-US" sz="2400" spc="-1" strike="noStrike">
                    <a:solidFill>
                      <a:srgbClr val="595959"/>
                    </a:solidFill>
                    <a:latin typeface="Calibri"/>
                  </a:rPr>
                  <a:t>primary energy [MJ/FU]</a:t>
                </a:r>
              </a:p>
            </c:rich>
          </c:tx>
          <c:layout>
            <c:manualLayout>
              <c:xMode val="edge"/>
              <c:yMode val="edge"/>
              <c:x val="0.0290487997295165"/>
              <c:y val="0.25124084140865"/>
            </c:manualLayout>
          </c:layout>
          <c:overlay val="0"/>
          <c:spPr>
            <a:noFill/>
            <a:ln w="0">
              <a:noFill/>
            </a:ln>
          </c:spPr>
        </c:title>
        <c:numFmt formatCode="0.000" sourceLinked="0"/>
        <c:majorTickMark val="none"/>
        <c:minorTickMark val="none"/>
        <c:tickLblPos val="nextTo"/>
        <c:spPr>
          <a:ln w="6480">
            <a:noFill/>
          </a:ln>
        </c:spPr>
        <c:txPr>
          <a:bodyPr/>
          <a:lstStyle/>
          <a:p>
            <a:pPr>
              <a:defRPr b="0" sz="2400" spc="-1" strike="noStrike">
                <a:solidFill>
                  <a:srgbClr val="595959"/>
                </a:solidFill>
                <a:latin typeface="Calibri"/>
              </a:defRPr>
            </a:pPr>
          </a:p>
        </c:txPr>
        <c:crossAx val="50349076"/>
        <c:crosses val="autoZero"/>
        <c:crossBetween val="between"/>
      </c:valAx>
      <c:spPr>
        <a:noFill/>
        <a:ln w="0">
          <a:noFill/>
        </a:ln>
      </c:spPr>
    </c:plotArea>
    <c:legend>
      <c:legendPos val="b"/>
      <c:layout>
        <c:manualLayout>
          <c:xMode val="edge"/>
          <c:yMode val="edge"/>
          <c:x val="0.158410653004168"/>
          <c:y val="0.819049203356623"/>
          <c:w val="0.750755114979415"/>
          <c:h val="0.157258409013427"/>
        </c:manualLayout>
      </c:layout>
      <c:overlay val="0"/>
      <c:spPr>
        <a:noFill/>
        <a:ln w="0">
          <a:noFill/>
        </a:ln>
      </c:spPr>
      <c:txPr>
        <a:bodyPr/>
        <a:lstStyle/>
        <a:p>
          <a:pPr>
            <a:defRPr b="0" sz="25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400" spc="-1" strike="noStrike">
                <a:solidFill>
                  <a:srgbClr val="595959"/>
                </a:solidFill>
                <a:latin typeface="Calibri"/>
              </a:defRPr>
            </a:pPr>
            <a:r>
              <a:rPr b="0" lang="en-US" sz="2400" spc="-1" strike="noStrike">
                <a:solidFill>
                  <a:srgbClr val="595959"/>
                </a:solidFill>
                <a:latin typeface="Calibri"/>
              </a:rPr>
              <a:t>Comparison of fossil CO2</a:t>
            </a:r>
          </a:p>
        </c:rich>
      </c:tx>
      <c:layout>
        <c:manualLayout>
          <c:xMode val="edge"/>
          <c:yMode val="edge"/>
          <c:x val="0.399481704740712"/>
          <c:y val="0.0323023364798822"/>
        </c:manualLayout>
      </c:layout>
      <c:overlay val="0"/>
      <c:spPr>
        <a:noFill/>
        <a:ln w="0">
          <a:noFill/>
        </a:ln>
      </c:spPr>
    </c:title>
    <c:autoTitleDeleted val="0"/>
    <c:plotArea>
      <c:layout>
        <c:manualLayout>
          <c:layoutTarget val="inner"/>
          <c:xMode val="edge"/>
          <c:yMode val="edge"/>
          <c:x val="0.176023210613786"/>
          <c:y val="0.0913838120104439"/>
          <c:w val="0.779696346581786"/>
          <c:h val="0.61863158599451"/>
        </c:manualLayout>
      </c:layout>
      <c:barChart>
        <c:barDir val="col"/>
        <c:grouping val="stacked"/>
        <c:varyColors val="0"/>
        <c:ser>
          <c:idx val="0"/>
          <c:order val="0"/>
          <c:tx>
            <c:strRef>
              <c:f>'Gasoline and electric vehicles'!$W$6</c:f>
              <c:strCache>
                <c:ptCount val="1"/>
                <c:pt idx="0">
                  <c:v>Car manufacturing</c:v>
                </c:pt>
              </c:strCache>
            </c:strRef>
          </c:tx>
          <c:spPr>
            <a:solidFill>
              <a:srgbClr val="5b9bd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vehicles'!$X$6:$AB$6</c:f>
              <c:numCache>
                <c:formatCode>0.00E+00</c:formatCode>
                <c:ptCount val="5"/>
                <c:pt idx="0">
                  <c:v>0.0346171723159217</c:v>
                </c:pt>
                <c:pt idx="1">
                  <c:v>0.0359927840553067</c:v>
                </c:pt>
                <c:pt idx="2">
                  <c:v>0.0359927840553067</c:v>
                </c:pt>
                <c:pt idx="3">
                  <c:v>0.0359927840553067</c:v>
                </c:pt>
                <c:pt idx="4">
                  <c:v>0.0359927840553067</c:v>
                </c:pt>
              </c:numCache>
            </c:numRef>
          </c:val>
        </c:ser>
        <c:ser>
          <c:idx val="1"/>
          <c:order val="1"/>
          <c:tx>
            <c:strRef>
              <c:f>'Gasoline and electric vehicles'!$W$7</c:f>
              <c:strCache>
                <c:ptCount val="1"/>
                <c:pt idx="0">
                  <c:v>Car transportation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vehicles'!$X$7:$AB$7</c:f>
              <c:numCache>
                <c:formatCode>0.00E+00</c:formatCode>
                <c:ptCount val="5"/>
                <c:pt idx="0">
                  <c:v>0.00085108588345</c:v>
                </c:pt>
                <c:pt idx="1">
                  <c:v>0.000532377269068</c:v>
                </c:pt>
                <c:pt idx="2">
                  <c:v>0.000532377269068</c:v>
                </c:pt>
                <c:pt idx="3">
                  <c:v>0.000532377269068</c:v>
                </c:pt>
                <c:pt idx="4">
                  <c:v>0.000532377269068</c:v>
                </c:pt>
              </c:numCache>
            </c:numRef>
          </c:val>
        </c:ser>
        <c:ser>
          <c:idx val="2"/>
          <c:order val="2"/>
          <c:tx>
            <c:strRef>
              <c:f>'Gasoline and electric vehicles'!$W$8</c:f>
              <c:strCache>
                <c:ptCount val="1"/>
                <c:pt idx="0">
                  <c:v>Car disposal</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vehicles'!$X$8:$AB$8</c:f>
              <c:numCache>
                <c:formatCode>0.00E+00</c:formatCode>
                <c:ptCount val="5"/>
                <c:pt idx="0">
                  <c:v>0.001107119142416</c:v>
                </c:pt>
                <c:pt idx="1">
                  <c:v>8.02224739857778E-005</c:v>
                </c:pt>
                <c:pt idx="2">
                  <c:v>8.02224739857778E-005</c:v>
                </c:pt>
                <c:pt idx="3">
                  <c:v>8.02224739857778E-005</c:v>
                </c:pt>
                <c:pt idx="4">
                  <c:v>8.02224739857778E-005</c:v>
                </c:pt>
              </c:numCache>
            </c:numRef>
          </c:val>
        </c:ser>
        <c:ser>
          <c:idx val="3"/>
          <c:order val="3"/>
          <c:tx>
            <c:strRef>
              <c:f>'Gasoline and electric vehicles'!$W$9</c:f>
              <c:strCache>
                <c:ptCount val="1"/>
                <c:pt idx="0">
                  <c:v>Petrol gas </c:v>
                </c:pt>
              </c:strCache>
            </c:strRef>
          </c:tx>
          <c:spPr>
            <a:solidFill>
              <a:srgbClr val="70ad47"/>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vehicles'!$X$9:$AB$9</c:f>
              <c:numCache>
                <c:formatCode>0.000</c:formatCode>
                <c:ptCount val="5"/>
                <c:pt idx="0">
                  <c:v>0.228847644</c:v>
                </c:pt>
              </c:numCache>
            </c:numRef>
          </c:val>
        </c:ser>
        <c:ser>
          <c:idx val="4"/>
          <c:order val="4"/>
          <c:tx>
            <c:strRef>
              <c:f>'Gasoline and electric vehicles'!$W$10</c:f>
              <c:strCache>
                <c:ptCount val="1"/>
                <c:pt idx="0">
                  <c:v>Electric charging - RER</c:v>
                </c:pt>
              </c:strCache>
            </c:strRef>
          </c:tx>
          <c:spPr>
            <a:solidFill>
              <a:srgbClr val="255e9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vehicles'!$X$10:$AB$10</c:f>
              <c:numCache>
                <c:formatCode>0.000</c:formatCode>
                <c:ptCount val="5"/>
                <c:pt idx="1">
                  <c:v>0.1040352456</c:v>
                </c:pt>
              </c:numCache>
            </c:numRef>
          </c:val>
        </c:ser>
        <c:ser>
          <c:idx val="5"/>
          <c:order val="5"/>
          <c:tx>
            <c:strRef>
              <c:f>'Gasoline and electric vehicles'!$W$12</c:f>
              <c:strCache>
                <c:ptCount val="1"/>
                <c:pt idx="0">
                  <c:v>Electric charging - photovoltaic</c:v>
                </c:pt>
              </c:strCache>
            </c:strRef>
          </c:tx>
          <c:spPr>
            <a:solidFill>
              <a:srgbClr val="ffc000"/>
            </a:solidFill>
            <a:ln w="2556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vehicles'!$X$12:$AB$12</c:f>
              <c:numCache>
                <c:formatCode>0.000</c:formatCode>
                <c:ptCount val="5"/>
                <c:pt idx="3">
                  <c:v>0.01777043788</c:v>
                </c:pt>
              </c:numCache>
            </c:numRef>
          </c:val>
        </c:ser>
        <c:ser>
          <c:idx val="6"/>
          <c:order val="6"/>
          <c:tx>
            <c:strRef>
              <c:f>'Gasoline and electric vehicles'!$W$11</c:f>
              <c:strCache>
                <c:ptCount val="1"/>
                <c:pt idx="0">
                  <c:v>Electric charging - wind</c:v>
                </c:pt>
              </c:strCache>
            </c:strRef>
          </c:tx>
          <c:spPr>
            <a:solidFill>
              <a:srgbClr val="9e480e"/>
            </a:solidFill>
            <a:ln w="2556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vehicles'!$X$11:$AB$11</c:f>
              <c:numCache>
                <c:formatCode>0.0000</c:formatCode>
                <c:ptCount val="5"/>
                <c:pt idx="2">
                  <c:v>0.0033340684</c:v>
                </c:pt>
              </c:numCache>
            </c:numRef>
          </c:val>
        </c:ser>
        <c:ser>
          <c:idx val="7"/>
          <c:order val="7"/>
          <c:tx>
            <c:strRef>
              <c:f>'Gasoline and electric vehicles'!$W$13</c:f>
              <c:strCache>
                <c:ptCount val="1"/>
                <c:pt idx="0">
                  <c:v>Electric charging - hard coal</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vehicles'!$X$13:$AB$13</c:f>
              <c:numCache>
                <c:formatCode>0.000</c:formatCode>
                <c:ptCount val="5"/>
                <c:pt idx="4">
                  <c:v>0.257858328</c:v>
                </c:pt>
              </c:numCache>
            </c:numRef>
          </c:val>
        </c:ser>
        <c:gapWidth val="150"/>
        <c:overlap val="100"/>
        <c:axId val="14611417"/>
        <c:axId val="48464094"/>
      </c:barChart>
      <c:catAx>
        <c:axId val="1461141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2000" spc="-1" strike="noStrike">
                <a:solidFill>
                  <a:srgbClr val="595959"/>
                </a:solidFill>
                <a:latin typeface="Calibri"/>
              </a:defRPr>
            </a:pPr>
          </a:p>
        </c:txPr>
        <c:crossAx val="48464094"/>
        <c:crossesAt val="-0.05"/>
        <c:auto val="1"/>
        <c:lblAlgn val="ctr"/>
        <c:lblOffset val="100"/>
        <c:noMultiLvlLbl val="0"/>
      </c:catAx>
      <c:valAx>
        <c:axId val="48464094"/>
        <c:scaling>
          <c:orientation val="minMax"/>
        </c:scaling>
        <c:delete val="0"/>
        <c:axPos val="l"/>
        <c:majorGridlines>
          <c:spPr>
            <a:ln w="9360">
              <a:solidFill>
                <a:srgbClr val="d9d9d9"/>
              </a:solidFill>
              <a:round/>
            </a:ln>
          </c:spPr>
        </c:majorGridlines>
        <c:title>
          <c:tx>
            <c:rich>
              <a:bodyPr rot="-5400000"/>
              <a:lstStyle/>
              <a:p>
                <a:pPr>
                  <a:defRPr b="0" lang="en-US" sz="2400" spc="-1" strike="noStrike">
                    <a:solidFill>
                      <a:srgbClr val="595959"/>
                    </a:solidFill>
                    <a:latin typeface="Calibri"/>
                  </a:defRPr>
                </a:pPr>
                <a:r>
                  <a:rPr b="0" lang="en-US" sz="2400" spc="-1" strike="noStrike">
                    <a:solidFill>
                      <a:srgbClr val="595959"/>
                    </a:solidFill>
                    <a:latin typeface="Calibri"/>
                  </a:rPr>
                  <a:t>Fossi CO2[kgCO2/FU]</a:t>
                </a:r>
              </a:p>
            </c:rich>
          </c:tx>
          <c:layout>
            <c:manualLayout>
              <c:xMode val="edge"/>
              <c:yMode val="edge"/>
              <c:x val="0.0334920143094561"/>
              <c:y val="0.225982459663922"/>
            </c:manualLayout>
          </c:layout>
          <c:overlay val="0"/>
          <c:spPr>
            <a:noFill/>
            <a:ln w="0">
              <a:noFill/>
            </a:ln>
          </c:spPr>
        </c:title>
        <c:numFmt formatCode="0.000" sourceLinked="0"/>
        <c:majorTickMark val="none"/>
        <c:minorTickMark val="none"/>
        <c:tickLblPos val="nextTo"/>
        <c:spPr>
          <a:ln w="6480">
            <a:noFill/>
          </a:ln>
        </c:spPr>
        <c:txPr>
          <a:bodyPr/>
          <a:lstStyle/>
          <a:p>
            <a:pPr>
              <a:defRPr b="0" sz="2400" spc="-1" strike="noStrike">
                <a:solidFill>
                  <a:srgbClr val="595959"/>
                </a:solidFill>
                <a:latin typeface="Calibri"/>
              </a:defRPr>
            </a:pPr>
          </a:p>
        </c:txPr>
        <c:crossAx val="14611417"/>
        <c:crosses val="autoZero"/>
        <c:crossBetween val="between"/>
      </c:valAx>
      <c:spPr>
        <a:noFill/>
        <a:ln w="0">
          <a:noFill/>
        </a:ln>
      </c:spPr>
    </c:plotArea>
    <c:legend>
      <c:legendPos val="b"/>
      <c:layout>
        <c:manualLayout>
          <c:xMode val="edge"/>
          <c:yMode val="edge"/>
          <c:x val="0.0810404383866617"/>
          <c:y val="0.810231759499485"/>
          <c:w val="0.846536345429468"/>
          <c:h val="0.153450351527593"/>
        </c:manualLayout>
      </c:layout>
      <c:overlay val="0"/>
      <c:spPr>
        <a:noFill/>
        <a:ln w="0">
          <a:noFill/>
        </a:ln>
      </c:spPr>
      <c:txPr>
        <a:bodyPr/>
        <a:lstStyle/>
        <a:p>
          <a:pPr>
            <a:defRPr b="0" sz="24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Comparison of Global Warming score kgCO2equ</a:t>
            </a:r>
          </a:p>
        </c:rich>
      </c:tx>
      <c:overlay val="0"/>
      <c:spPr>
        <a:noFill/>
        <a:ln w="0">
          <a:noFill/>
        </a:ln>
      </c:spPr>
    </c:title>
    <c:autoTitleDeleted val="0"/>
    <c:plotArea>
      <c:layout>
        <c:manualLayout>
          <c:layoutTarget val="inner"/>
          <c:xMode val="edge"/>
          <c:yMode val="edge"/>
          <c:x val="0.213276809307454"/>
          <c:y val="0.137927507075391"/>
          <c:w val="0.69515046670342"/>
          <c:h val="0.523033382207522"/>
        </c:manualLayout>
      </c:layout>
      <c:barChart>
        <c:barDir val="col"/>
        <c:grouping val="stacked"/>
        <c:varyColors val="0"/>
        <c:ser>
          <c:idx val="0"/>
          <c:order val="0"/>
          <c:tx>
            <c:strRef>
              <c:f>'Gasoline and electric vehicles'!$AD$6</c:f>
              <c:strCache>
                <c:ptCount val="1"/>
                <c:pt idx="0">
                  <c:v>Car manufacturing</c:v>
                </c:pt>
              </c:strCache>
            </c:strRef>
          </c:tx>
          <c:spPr>
            <a:solidFill>
              <a:srgbClr val="5b9bd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vehicles'!$AE$6,'Gasoline and electric vehicles'!$AG$6,'Gasoline and electric vehicles'!$AI$6,'Gasoline and electric vehicles'!$AK$6,'Gasoline and electric vehicles'!$AM$6</c:f>
              <c:numCache>
                <c:formatCode>0.00E+00</c:formatCode>
                <c:ptCount val="5"/>
                <c:pt idx="0">
                  <c:v>0.0389140348724226</c:v>
                </c:pt>
                <c:pt idx="1">
                  <c:v>0.0407709203508</c:v>
                </c:pt>
                <c:pt idx="2">
                  <c:v>0.0407709203508</c:v>
                </c:pt>
                <c:pt idx="3">
                  <c:v>0.0407709203508</c:v>
                </c:pt>
                <c:pt idx="4">
                  <c:v>0.0407709203508</c:v>
                </c:pt>
              </c:numCache>
            </c:numRef>
          </c:val>
        </c:ser>
        <c:ser>
          <c:idx val="1"/>
          <c:order val="1"/>
          <c:tx>
            <c:strRef>
              <c:f>'Gasoline and electric vehicles'!$AD$7</c:f>
              <c:strCache>
                <c:ptCount val="1"/>
                <c:pt idx="0">
                  <c:v>Car transportation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vehicles'!$AE$7,'Gasoline and electric vehicles'!$AG$7,'Gasoline and electric vehicles'!$AI$7,'Gasoline and electric vehicles'!$AK$7,'Gasoline and electric vehicles'!$AM$7</c:f>
              <c:numCache>
                <c:formatCode>0.00E+00</c:formatCode>
                <c:ptCount val="5"/>
                <c:pt idx="0">
                  <c:v>0.000886005056543333</c:v>
                </c:pt>
                <c:pt idx="1">
                  <c:v>0.000554471305436</c:v>
                </c:pt>
                <c:pt idx="2">
                  <c:v>0.000554471305436</c:v>
                </c:pt>
                <c:pt idx="3">
                  <c:v>0.000554471305436</c:v>
                </c:pt>
                <c:pt idx="4">
                  <c:v>0.000554471305436</c:v>
                </c:pt>
              </c:numCache>
            </c:numRef>
          </c:val>
        </c:ser>
        <c:ser>
          <c:idx val="2"/>
          <c:order val="2"/>
          <c:tx>
            <c:strRef>
              <c:f>'Gasoline and electric vehicles'!$AD$8</c:f>
              <c:strCache>
                <c:ptCount val="1"/>
                <c:pt idx="0">
                  <c:v>Car disposal</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vehicles'!$AE$8,'Gasoline and electric vehicles'!$AG$8,'Gasoline and electric vehicles'!$AI$8,'Gasoline and electric vehicles'!$AK$8,'Gasoline and electric vehicles'!$AM$8</c:f>
              <c:numCache>
                <c:formatCode>0.00E+00</c:formatCode>
                <c:ptCount val="5"/>
                <c:pt idx="0">
                  <c:v>0.00111353819746933</c:v>
                </c:pt>
                <c:pt idx="1">
                  <c:v>0.000139442194036</c:v>
                </c:pt>
                <c:pt idx="2">
                  <c:v>0.000139442194036</c:v>
                </c:pt>
                <c:pt idx="3">
                  <c:v>0.000139442194036</c:v>
                </c:pt>
                <c:pt idx="4">
                  <c:v>0.000139442194036</c:v>
                </c:pt>
              </c:numCache>
            </c:numRef>
          </c:val>
        </c:ser>
        <c:ser>
          <c:idx val="3"/>
          <c:order val="3"/>
          <c:tx>
            <c:strRef>
              <c:f>'Gasoline and electric vehicles'!$AD$9</c:f>
              <c:strCache>
                <c:ptCount val="1"/>
                <c:pt idx="0">
                  <c:v>Petrol gas </c:v>
                </c:pt>
              </c:strCache>
            </c:strRef>
          </c:tx>
          <c:spPr>
            <a:solidFill>
              <a:srgbClr val="70ad47"/>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vehicles'!$AE$9,'Gasoline and electric vehicles'!$AG$9,'Gasoline and electric vehicles'!$AI$9,'Gasoline and electric vehicles'!$AK$9,'Gasoline and electric vehicles'!$AM$9</c:f>
              <c:numCache>
                <c:formatCode>0.000</c:formatCode>
                <c:ptCount val="5"/>
                <c:pt idx="0">
                  <c:v>0.232101095190476</c:v>
                </c:pt>
              </c:numCache>
            </c:numRef>
          </c:val>
        </c:ser>
        <c:ser>
          <c:idx val="4"/>
          <c:order val="4"/>
          <c:tx>
            <c:strRef>
              <c:f>'Gasoline and electric vehicles'!$AD$10</c:f>
              <c:strCache>
                <c:ptCount val="1"/>
                <c:pt idx="0">
                  <c:v>Electric charging - RER</c:v>
                </c:pt>
              </c:strCache>
            </c:strRef>
          </c:tx>
          <c:spPr>
            <a:solidFill>
              <a:srgbClr val="255e9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vehicles'!$AE$10,'Gasoline and electric vehicles'!$AG$10,'Gasoline and electric vehicles'!$AI$10,'Gasoline and electric vehicles'!$AK$10,'Gasoline and electric vehicles'!$AM$10</c:f>
              <c:numCache>
                <c:formatCode>0.000</c:formatCode>
                <c:ptCount val="5"/>
                <c:pt idx="1">
                  <c:v>0.1114071946</c:v>
                </c:pt>
              </c:numCache>
            </c:numRef>
          </c:val>
        </c:ser>
        <c:ser>
          <c:idx val="5"/>
          <c:order val="5"/>
          <c:tx>
            <c:strRef>
              <c:f>'Gasoline and electric vehicles'!$AD$12</c:f>
              <c:strCache>
                <c:ptCount val="1"/>
                <c:pt idx="0">
                  <c:v>Electric charging - photovoltaic</c:v>
                </c:pt>
              </c:strCache>
            </c:strRef>
          </c:tx>
          <c:spPr>
            <a:solidFill>
              <a:srgbClr val="ffc000"/>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vehicles'!$AE$12,'Gasoline and electric vehicles'!$AG$12,'Gasoline and electric vehicles'!$AI$12,'Gasoline and electric vehicles'!$AK$12,'Gasoline and electric vehicles'!$AM$12</c:f>
              <c:numCache>
                <c:formatCode>0.000</c:formatCode>
                <c:ptCount val="5"/>
                <c:pt idx="3">
                  <c:v>0.02030871882</c:v>
                </c:pt>
              </c:numCache>
            </c:numRef>
          </c:val>
        </c:ser>
        <c:ser>
          <c:idx val="6"/>
          <c:order val="6"/>
          <c:tx>
            <c:strRef>
              <c:f>'Gasoline and electric vehicles'!$AD$11</c:f>
              <c:strCache>
                <c:ptCount val="1"/>
                <c:pt idx="0">
                  <c:v>Electric charging - wind</c:v>
                </c:pt>
              </c:strCache>
            </c:strRef>
          </c:tx>
          <c:spPr>
            <a:solidFill>
              <a:srgbClr val="9e480e"/>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vehicles'!$AE$11,'Gasoline and electric vehicles'!$AG$11,'Gasoline and electric vehicles'!$AI$11,'Gasoline and electric vehicles'!$AK$11,'Gasoline and electric vehicles'!$AM$11</c:f>
              <c:numCache>
                <c:formatCode>0.0000</c:formatCode>
                <c:ptCount val="5"/>
                <c:pt idx="2">
                  <c:v>0.0037652069</c:v>
                </c:pt>
              </c:numCache>
            </c:numRef>
          </c:val>
        </c:ser>
        <c:ser>
          <c:idx val="7"/>
          <c:order val="7"/>
          <c:tx>
            <c:strRef>
              <c:f>'Gasoline and electric vehicles'!$AD$13</c:f>
              <c:strCache>
                <c:ptCount val="1"/>
                <c:pt idx="0">
                  <c:v>Electric charging - hard coal</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f>'Gasoline and electric vehicles'!$AE$13,'Gasoline and electric vehicles'!$AG$13,'Gasoline and electric vehicles'!$AI$13,'Gasoline and electric vehicles'!$AK$13,'Gasoline and electric vehicles'!$AM$13</c:f>
              <c:numCache>
                <c:formatCode>0.000</c:formatCode>
                <c:ptCount val="5"/>
                <c:pt idx="4">
                  <c:v>0.262335658</c:v>
                </c:pt>
              </c:numCache>
            </c:numRef>
          </c:val>
        </c:ser>
        <c:gapWidth val="150"/>
        <c:overlap val="100"/>
        <c:axId val="27543015"/>
        <c:axId val="77823367"/>
      </c:barChart>
      <c:catAx>
        <c:axId val="2754301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2000" spc="-1" strike="noStrike">
                <a:solidFill>
                  <a:srgbClr val="595959"/>
                </a:solidFill>
                <a:latin typeface="Calibri"/>
              </a:defRPr>
            </a:pPr>
          </a:p>
        </c:txPr>
        <c:crossAx val="77823367"/>
        <c:crossesAt val="-0.05"/>
        <c:auto val="1"/>
        <c:lblAlgn val="ctr"/>
        <c:lblOffset val="100"/>
        <c:noMultiLvlLbl val="0"/>
      </c:catAx>
      <c:valAx>
        <c:axId val="77823367"/>
        <c:scaling>
          <c:orientation val="minMax"/>
        </c:scaling>
        <c:delete val="0"/>
        <c:axPos val="l"/>
        <c:majorGridlines>
          <c:spPr>
            <a:ln w="9360">
              <a:solidFill>
                <a:srgbClr val="d9d9d9"/>
              </a:solidFill>
              <a:round/>
            </a:ln>
          </c:spPr>
        </c:majorGridlines>
        <c:title>
          <c:tx>
            <c:rich>
              <a:bodyPr rot="-5400000"/>
              <a:lstStyle/>
              <a:p>
                <a:pPr>
                  <a:defRPr b="0" lang="en-US" sz="2400" spc="-1" strike="noStrike">
                    <a:solidFill>
                      <a:srgbClr val="595959"/>
                    </a:solidFill>
                    <a:latin typeface="Calibri"/>
                  </a:defRPr>
                </a:pPr>
                <a:r>
                  <a:rPr b="0" lang="en-US" sz="2400" spc="-1" strike="noStrike">
                    <a:solidFill>
                      <a:srgbClr val="595959"/>
                    </a:solidFill>
                    <a:latin typeface="Calibri"/>
                  </a:rPr>
                  <a:t>GW score [kgCO2equ/FU]</a:t>
                </a:r>
              </a:p>
            </c:rich>
          </c:tx>
          <c:layout>
            <c:manualLayout>
              <c:xMode val="edge"/>
              <c:yMode val="edge"/>
              <c:x val="0.0609851149174002"/>
              <c:y val="0.22729907593685"/>
            </c:manualLayout>
          </c:layout>
          <c:overlay val="0"/>
          <c:spPr>
            <a:noFill/>
            <a:ln w="0">
              <a:noFill/>
            </a:ln>
          </c:spPr>
        </c:title>
        <c:numFmt formatCode="0.000" sourceLinked="0"/>
        <c:majorTickMark val="none"/>
        <c:minorTickMark val="none"/>
        <c:tickLblPos val="nextTo"/>
        <c:spPr>
          <a:ln w="6480">
            <a:noFill/>
          </a:ln>
        </c:spPr>
        <c:txPr>
          <a:bodyPr/>
          <a:lstStyle/>
          <a:p>
            <a:pPr>
              <a:defRPr b="0" sz="2400" spc="-1" strike="noStrike">
                <a:solidFill>
                  <a:srgbClr val="595959"/>
                </a:solidFill>
                <a:latin typeface="Calibri"/>
              </a:defRPr>
            </a:pPr>
          </a:p>
        </c:txPr>
        <c:crossAx val="27543015"/>
        <c:crosses val="autoZero"/>
        <c:crossBetween val="between"/>
      </c:valAx>
      <c:spPr>
        <a:noFill/>
        <a:ln w="0">
          <a:noFill/>
        </a:ln>
      </c:spPr>
    </c:plotArea>
    <c:legend>
      <c:legendPos val="b"/>
      <c:layout>
        <c:manualLayout>
          <c:xMode val="edge"/>
          <c:yMode val="edge"/>
          <c:x val="0.0810404383866617"/>
          <c:y val="0.750805501106312"/>
          <c:w val="0.846536345429468"/>
          <c:h val="0.212876657429434"/>
        </c:manualLayout>
      </c:layout>
      <c:overlay val="0"/>
      <c:spPr>
        <a:noFill/>
        <a:ln w="0">
          <a:noFill/>
        </a:ln>
      </c:spPr>
      <c:txPr>
        <a:bodyPr/>
        <a:lstStyle/>
        <a:p>
          <a:pPr>
            <a:defRPr b="0" sz="24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160" spc="-1" strike="noStrike">
                <a:solidFill>
                  <a:srgbClr val="595959"/>
                </a:solidFill>
                <a:latin typeface="Calibri"/>
              </a:defRPr>
            </a:pPr>
            <a:r>
              <a:rPr b="0" lang="en-US" sz="2160" spc="-1" strike="noStrike">
                <a:solidFill>
                  <a:srgbClr val="595959"/>
                </a:solidFill>
                <a:latin typeface="Calibri"/>
              </a:rPr>
              <a:t>Cumulative global warming score over vehicle lifetime</a:t>
            </a:r>
          </a:p>
        </c:rich>
      </c:tx>
      <c:layout>
        <c:manualLayout>
          <c:xMode val="edge"/>
          <c:yMode val="edge"/>
          <c:x val="0.342560293121189"/>
          <c:y val="0.0192647058823529"/>
        </c:manualLayout>
      </c:layout>
      <c:overlay val="0"/>
      <c:spPr>
        <a:noFill/>
        <a:ln w="0">
          <a:noFill/>
        </a:ln>
      </c:spPr>
    </c:title>
    <c:autoTitleDeleted val="0"/>
    <c:plotArea>
      <c:scatterChart>
        <c:scatterStyle val="lineMarker"/>
        <c:varyColors val="0"/>
        <c:ser>
          <c:idx val="0"/>
          <c:order val="0"/>
          <c:tx>
            <c:strRef>
              <c:f>'Gasoline and electric vehicles'!$AQ$5</c:f>
              <c:strCache>
                <c:ptCount val="1"/>
                <c:pt idx="0">
                  <c:v>Gas Vehicle</c:v>
                </c:pt>
              </c:strCache>
            </c:strRef>
          </c:tx>
          <c:spPr>
            <a:solidFill>
              <a:srgbClr val="5b9bd5"/>
            </a:solidFill>
            <a:ln cap="rnd" w="19080">
              <a:solidFill>
                <a:srgbClr val="5b9bd5"/>
              </a:solidFill>
              <a:round/>
            </a:ln>
          </c:spPr>
          <c:marker>
            <c:symbol val="circle"/>
            <c:size val="5"/>
            <c:spPr>
              <a:solidFill>
                <a:srgbClr val="5b9bd5"/>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vehicles'!$AQ$6:$AQ$46</c:f>
              <c:numCache>
                <c:formatCode>General</c:formatCode>
                <c:ptCount val="41"/>
                <c:pt idx="0">
                  <c:v>5970.00598934489</c:v>
                </c:pt>
                <c:pt idx="1">
                  <c:v>6202.10708453537</c:v>
                </c:pt>
                <c:pt idx="2">
                  <c:v>6434.20817972584</c:v>
                </c:pt>
                <c:pt idx="3">
                  <c:v>6666.30927491632</c:v>
                </c:pt>
                <c:pt idx="4">
                  <c:v>7130.51146529727</c:v>
                </c:pt>
                <c:pt idx="5">
                  <c:v>7594.71365567822</c:v>
                </c:pt>
                <c:pt idx="6">
                  <c:v>8291.01694124965</c:v>
                </c:pt>
                <c:pt idx="7">
                  <c:v>10612.0278931544</c:v>
                </c:pt>
                <c:pt idx="8">
                  <c:v>12933.0388450592</c:v>
                </c:pt>
                <c:pt idx="9">
                  <c:v>15254.0497969639</c:v>
                </c:pt>
                <c:pt idx="10">
                  <c:v>17575.0607488687</c:v>
                </c:pt>
                <c:pt idx="11">
                  <c:v>19896.0717007735</c:v>
                </c:pt>
                <c:pt idx="12">
                  <c:v>22217.0826526782</c:v>
                </c:pt>
                <c:pt idx="13">
                  <c:v>24538.093604583</c:v>
                </c:pt>
                <c:pt idx="14">
                  <c:v>26859.1045564877</c:v>
                </c:pt>
                <c:pt idx="15">
                  <c:v>29180.1155083925</c:v>
                </c:pt>
                <c:pt idx="16">
                  <c:v>31501.1264602973</c:v>
                </c:pt>
                <c:pt idx="17">
                  <c:v>33822.137412202</c:v>
                </c:pt>
                <c:pt idx="18">
                  <c:v>36143.1483641068</c:v>
                </c:pt>
                <c:pt idx="19">
                  <c:v>38464.1593160116</c:v>
                </c:pt>
                <c:pt idx="20">
                  <c:v>40785.1702679163</c:v>
                </c:pt>
                <c:pt idx="21">
                  <c:v>43106.1812198211</c:v>
                </c:pt>
                <c:pt idx="22">
                  <c:v>45427.1921717258</c:v>
                </c:pt>
                <c:pt idx="23">
                  <c:v>47748.2031236306</c:v>
                </c:pt>
                <c:pt idx="24">
                  <c:v>50069.2140755354</c:v>
                </c:pt>
                <c:pt idx="25">
                  <c:v>52390.2250274401</c:v>
                </c:pt>
                <c:pt idx="26">
                  <c:v>54711.2359793449</c:v>
                </c:pt>
                <c:pt idx="27">
                  <c:v>57032.2469312497</c:v>
                </c:pt>
                <c:pt idx="28">
                  <c:v>59353.2578831544</c:v>
                </c:pt>
                <c:pt idx="29">
                  <c:v>61674.2688350592</c:v>
                </c:pt>
                <c:pt idx="30">
                  <c:v>63995.2797869639</c:v>
                </c:pt>
                <c:pt idx="31">
                  <c:v>66316.2907388687</c:v>
                </c:pt>
                <c:pt idx="32">
                  <c:v>68637.3016907735</c:v>
                </c:pt>
                <c:pt idx="33">
                  <c:v>70958.3126426782</c:v>
                </c:pt>
                <c:pt idx="34">
                  <c:v>73279.323594583</c:v>
                </c:pt>
                <c:pt idx="35">
                  <c:v>75600.3345464878</c:v>
                </c:pt>
                <c:pt idx="36">
                  <c:v>77921.3454983925</c:v>
                </c:pt>
                <c:pt idx="37">
                  <c:v>80242.3564502973</c:v>
                </c:pt>
                <c:pt idx="38">
                  <c:v>82563.367402202</c:v>
                </c:pt>
                <c:pt idx="39">
                  <c:v>84884.3783541068</c:v>
                </c:pt>
                <c:pt idx="40">
                  <c:v>87205.3893060116</c:v>
                </c:pt>
              </c:numCache>
            </c:numRef>
          </c:yVal>
          <c:smooth val="0"/>
        </c:ser>
        <c:ser>
          <c:idx val="1"/>
          <c:order val="1"/>
          <c:tx>
            <c:strRef>
              <c:f>'Gasoline and electric vehicles'!$AR$5</c:f>
              <c:strCache>
                <c:ptCount val="1"/>
                <c:pt idx="0">
                  <c:v>Electric Vehicle - EU mix</c:v>
                </c:pt>
              </c:strCache>
            </c:strRef>
          </c:tx>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vehicles'!$AR$6:$AR$46</c:f>
              <c:numCache>
                <c:formatCode>General</c:formatCode>
                <c:ptCount val="41"/>
                <c:pt idx="0">
                  <c:v>9298.2131226531</c:v>
                </c:pt>
                <c:pt idx="1">
                  <c:v>9409.6203172531</c:v>
                </c:pt>
                <c:pt idx="2">
                  <c:v>9521.0275118531</c:v>
                </c:pt>
                <c:pt idx="3">
                  <c:v>9632.4347064531</c:v>
                </c:pt>
                <c:pt idx="4">
                  <c:v>9855.2490956531</c:v>
                </c:pt>
                <c:pt idx="5">
                  <c:v>10078.0634848531</c:v>
                </c:pt>
                <c:pt idx="6">
                  <c:v>10412.2850686531</c:v>
                </c:pt>
                <c:pt idx="7">
                  <c:v>11526.3570146531</c:v>
                </c:pt>
                <c:pt idx="8">
                  <c:v>12640.4289606531</c:v>
                </c:pt>
                <c:pt idx="9">
                  <c:v>13754.5009066531</c:v>
                </c:pt>
                <c:pt idx="10">
                  <c:v>14868.5728526531</c:v>
                </c:pt>
                <c:pt idx="11">
                  <c:v>15982.6447986531</c:v>
                </c:pt>
                <c:pt idx="12">
                  <c:v>17096.7167446531</c:v>
                </c:pt>
                <c:pt idx="13">
                  <c:v>18210.7886906531</c:v>
                </c:pt>
                <c:pt idx="14">
                  <c:v>19324.8606366531</c:v>
                </c:pt>
                <c:pt idx="15">
                  <c:v>20438.9325826531</c:v>
                </c:pt>
                <c:pt idx="16">
                  <c:v>21553.0045286531</c:v>
                </c:pt>
                <c:pt idx="17">
                  <c:v>22667.0764746531</c:v>
                </c:pt>
                <c:pt idx="18">
                  <c:v>23781.1484206531</c:v>
                </c:pt>
                <c:pt idx="19">
                  <c:v>24895.2203666531</c:v>
                </c:pt>
                <c:pt idx="20">
                  <c:v>26009.2923126531</c:v>
                </c:pt>
                <c:pt idx="21">
                  <c:v>27123.3642586531</c:v>
                </c:pt>
                <c:pt idx="22">
                  <c:v>28237.4362046531</c:v>
                </c:pt>
                <c:pt idx="23">
                  <c:v>29351.5081506531</c:v>
                </c:pt>
                <c:pt idx="24">
                  <c:v>30465.5800966531</c:v>
                </c:pt>
                <c:pt idx="25">
                  <c:v>31579.6520426531</c:v>
                </c:pt>
                <c:pt idx="26">
                  <c:v>32693.7239886531</c:v>
                </c:pt>
                <c:pt idx="27">
                  <c:v>33807.7959346531</c:v>
                </c:pt>
                <c:pt idx="28">
                  <c:v>34921.8678806531</c:v>
                </c:pt>
                <c:pt idx="29">
                  <c:v>36035.9398266531</c:v>
                </c:pt>
                <c:pt idx="30">
                  <c:v>37150.0117726531</c:v>
                </c:pt>
                <c:pt idx="31">
                  <c:v>38264.0837186531</c:v>
                </c:pt>
                <c:pt idx="32">
                  <c:v>39378.1556646531</c:v>
                </c:pt>
                <c:pt idx="33">
                  <c:v>40492.2276106531</c:v>
                </c:pt>
                <c:pt idx="34">
                  <c:v>41606.2995566531</c:v>
                </c:pt>
                <c:pt idx="35">
                  <c:v>42720.3715026531</c:v>
                </c:pt>
                <c:pt idx="36">
                  <c:v>43834.4434486531</c:v>
                </c:pt>
                <c:pt idx="37">
                  <c:v>44948.5153946531</c:v>
                </c:pt>
                <c:pt idx="38">
                  <c:v>46062.5873406531</c:v>
                </c:pt>
                <c:pt idx="39">
                  <c:v>47176.6592866531</c:v>
                </c:pt>
                <c:pt idx="40">
                  <c:v>48290.7312326531</c:v>
                </c:pt>
              </c:numCache>
            </c:numRef>
          </c:yVal>
          <c:smooth val="0"/>
        </c:ser>
        <c:ser>
          <c:idx val="2"/>
          <c:order val="2"/>
          <c:tx>
            <c:strRef>
              <c:f>'Gasoline and electric vehicles'!$AS$5</c:f>
              <c:strCache>
                <c:ptCount val="1"/>
                <c:pt idx="0">
                  <c:v>Electric Vehicle - Wind</c:v>
                </c:pt>
              </c:strCache>
            </c:strRef>
          </c:tx>
          <c:spPr>
            <a:solidFill>
              <a:srgbClr val="a5a5a5"/>
            </a:solidFill>
            <a:ln cap="rnd" w="19080">
              <a:solidFill>
                <a:srgbClr val="a5a5a5"/>
              </a:solidFill>
              <a:round/>
            </a:ln>
          </c:spPr>
          <c:marker>
            <c:symbol val="circle"/>
            <c:size val="5"/>
            <c:spPr>
              <a:solidFill>
                <a:srgbClr val="a5a5a5"/>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vehicles'!$AS$6:$AS$46</c:f>
              <c:numCache>
                <c:formatCode>General</c:formatCode>
                <c:ptCount val="41"/>
                <c:pt idx="0">
                  <c:v>9298.2131226531</c:v>
                </c:pt>
                <c:pt idx="1">
                  <c:v>9301.9783295531</c:v>
                </c:pt>
                <c:pt idx="2">
                  <c:v>9305.7435364531</c:v>
                </c:pt>
                <c:pt idx="3">
                  <c:v>9309.5087433531</c:v>
                </c:pt>
                <c:pt idx="4">
                  <c:v>9317.0391571531</c:v>
                </c:pt>
                <c:pt idx="5">
                  <c:v>9324.5695709531</c:v>
                </c:pt>
                <c:pt idx="6">
                  <c:v>9335.8651916531</c:v>
                </c:pt>
                <c:pt idx="7">
                  <c:v>9373.5172606531</c:v>
                </c:pt>
                <c:pt idx="8">
                  <c:v>9411.1693296531</c:v>
                </c:pt>
                <c:pt idx="9">
                  <c:v>9448.8213986531</c:v>
                </c:pt>
                <c:pt idx="10">
                  <c:v>9486.4734676531</c:v>
                </c:pt>
                <c:pt idx="11">
                  <c:v>9524.1255366531</c:v>
                </c:pt>
                <c:pt idx="12">
                  <c:v>9561.7776056531</c:v>
                </c:pt>
                <c:pt idx="13">
                  <c:v>9599.4296746531</c:v>
                </c:pt>
                <c:pt idx="14">
                  <c:v>9637.0817436531</c:v>
                </c:pt>
                <c:pt idx="15">
                  <c:v>9674.7338126531</c:v>
                </c:pt>
                <c:pt idx="16">
                  <c:v>9712.3858816531</c:v>
                </c:pt>
                <c:pt idx="17">
                  <c:v>9750.0379506531</c:v>
                </c:pt>
                <c:pt idx="18">
                  <c:v>9787.6900196531</c:v>
                </c:pt>
                <c:pt idx="19">
                  <c:v>9825.3420886531</c:v>
                </c:pt>
                <c:pt idx="20">
                  <c:v>9862.9941576531</c:v>
                </c:pt>
                <c:pt idx="21">
                  <c:v>9900.6462266531</c:v>
                </c:pt>
                <c:pt idx="22">
                  <c:v>9938.2982956531</c:v>
                </c:pt>
                <c:pt idx="23">
                  <c:v>9975.9503646531</c:v>
                </c:pt>
                <c:pt idx="24">
                  <c:v>10013.6024336531</c:v>
                </c:pt>
                <c:pt idx="25">
                  <c:v>10051.2545026531</c:v>
                </c:pt>
                <c:pt idx="26">
                  <c:v>10088.9065716531</c:v>
                </c:pt>
                <c:pt idx="27">
                  <c:v>10126.5586406531</c:v>
                </c:pt>
                <c:pt idx="28">
                  <c:v>10164.2107096531</c:v>
                </c:pt>
                <c:pt idx="29">
                  <c:v>10201.8627786531</c:v>
                </c:pt>
                <c:pt idx="30">
                  <c:v>10239.5148476531</c:v>
                </c:pt>
                <c:pt idx="31">
                  <c:v>10277.1669166531</c:v>
                </c:pt>
                <c:pt idx="32">
                  <c:v>10314.8189856531</c:v>
                </c:pt>
                <c:pt idx="33">
                  <c:v>10352.4710546531</c:v>
                </c:pt>
                <c:pt idx="34">
                  <c:v>10390.1231236531</c:v>
                </c:pt>
                <c:pt idx="35">
                  <c:v>10427.7751926531</c:v>
                </c:pt>
                <c:pt idx="36">
                  <c:v>10465.4272616531</c:v>
                </c:pt>
                <c:pt idx="37">
                  <c:v>10503.0793306531</c:v>
                </c:pt>
                <c:pt idx="38">
                  <c:v>10540.7313996531</c:v>
                </c:pt>
                <c:pt idx="39">
                  <c:v>10578.3834686531</c:v>
                </c:pt>
                <c:pt idx="40">
                  <c:v>10616.0355376531</c:v>
                </c:pt>
              </c:numCache>
            </c:numRef>
          </c:yVal>
          <c:smooth val="0"/>
        </c:ser>
        <c:ser>
          <c:idx val="3"/>
          <c:order val="3"/>
          <c:tx>
            <c:strRef>
              <c:f>'Gasoline and electric vehicles'!$AT$5</c:f>
              <c:strCache>
                <c:ptCount val="1"/>
                <c:pt idx="0">
                  <c:v>Electric Vehicle - Photovoltaic</c:v>
                </c:pt>
              </c:strCache>
            </c:strRef>
          </c:tx>
          <c:spPr>
            <a:solidFill>
              <a:srgbClr val="ffc000"/>
            </a:solidFill>
            <a:ln cap="rnd" w="19080">
              <a:solidFill>
                <a:srgbClr val="ffc000"/>
              </a:solidFill>
              <a:round/>
            </a:ln>
          </c:spPr>
          <c:marker>
            <c:symbol val="circle"/>
            <c:size val="5"/>
            <c:spPr>
              <a:solidFill>
                <a:srgbClr val="ffc000"/>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vehicles'!$AT$6:$AT$46</c:f>
              <c:numCache>
                <c:formatCode>General</c:formatCode>
                <c:ptCount val="41"/>
                <c:pt idx="0">
                  <c:v>9298.2131226531</c:v>
                </c:pt>
                <c:pt idx="1">
                  <c:v>9318.5218414731</c:v>
                </c:pt>
                <c:pt idx="2">
                  <c:v>9338.8305602931</c:v>
                </c:pt>
                <c:pt idx="3">
                  <c:v>9359.1392791131</c:v>
                </c:pt>
                <c:pt idx="4">
                  <c:v>9399.7567167531</c:v>
                </c:pt>
                <c:pt idx="5">
                  <c:v>9440.3741543931</c:v>
                </c:pt>
                <c:pt idx="6">
                  <c:v>9501.3003108531</c:v>
                </c:pt>
                <c:pt idx="7">
                  <c:v>9704.3874990531</c:v>
                </c:pt>
                <c:pt idx="8">
                  <c:v>9907.4746872531</c:v>
                </c:pt>
                <c:pt idx="9">
                  <c:v>10110.5618754531</c:v>
                </c:pt>
                <c:pt idx="10">
                  <c:v>10313.6490636531</c:v>
                </c:pt>
                <c:pt idx="11">
                  <c:v>10516.7362518531</c:v>
                </c:pt>
                <c:pt idx="12">
                  <c:v>10719.8234400531</c:v>
                </c:pt>
                <c:pt idx="13">
                  <c:v>10922.9106282531</c:v>
                </c:pt>
                <c:pt idx="14">
                  <c:v>11125.9978164531</c:v>
                </c:pt>
                <c:pt idx="15">
                  <c:v>11329.0850046531</c:v>
                </c:pt>
                <c:pt idx="16">
                  <c:v>11532.1721928531</c:v>
                </c:pt>
                <c:pt idx="17">
                  <c:v>11735.2593810531</c:v>
                </c:pt>
                <c:pt idx="18">
                  <c:v>11938.3465692531</c:v>
                </c:pt>
                <c:pt idx="19">
                  <c:v>12141.4337574531</c:v>
                </c:pt>
                <c:pt idx="20">
                  <c:v>12344.5209456531</c:v>
                </c:pt>
                <c:pt idx="21">
                  <c:v>12547.6081338531</c:v>
                </c:pt>
                <c:pt idx="22">
                  <c:v>12750.6953220531</c:v>
                </c:pt>
                <c:pt idx="23">
                  <c:v>12953.7825102531</c:v>
                </c:pt>
                <c:pt idx="24">
                  <c:v>13156.8696984531</c:v>
                </c:pt>
                <c:pt idx="25">
                  <c:v>13359.9568866531</c:v>
                </c:pt>
                <c:pt idx="26">
                  <c:v>13563.0440748531</c:v>
                </c:pt>
                <c:pt idx="27">
                  <c:v>13766.1312630531</c:v>
                </c:pt>
                <c:pt idx="28">
                  <c:v>13969.2184512531</c:v>
                </c:pt>
                <c:pt idx="29">
                  <c:v>14172.3056394531</c:v>
                </c:pt>
                <c:pt idx="30">
                  <c:v>14375.3928276531</c:v>
                </c:pt>
                <c:pt idx="31">
                  <c:v>14578.4800158531</c:v>
                </c:pt>
                <c:pt idx="32">
                  <c:v>14781.5672040531</c:v>
                </c:pt>
                <c:pt idx="33">
                  <c:v>14984.6543922531</c:v>
                </c:pt>
                <c:pt idx="34">
                  <c:v>15187.7415804531</c:v>
                </c:pt>
                <c:pt idx="35">
                  <c:v>15390.8287686531</c:v>
                </c:pt>
                <c:pt idx="36">
                  <c:v>15593.9159568531</c:v>
                </c:pt>
                <c:pt idx="37">
                  <c:v>15797.0031450531</c:v>
                </c:pt>
                <c:pt idx="38">
                  <c:v>16000.0903332531</c:v>
                </c:pt>
                <c:pt idx="39">
                  <c:v>16203.1775214531</c:v>
                </c:pt>
                <c:pt idx="40">
                  <c:v>16406.2647096531</c:v>
                </c:pt>
              </c:numCache>
            </c:numRef>
          </c:yVal>
          <c:smooth val="0"/>
        </c:ser>
        <c:ser>
          <c:idx val="4"/>
          <c:order val="4"/>
          <c:tx>
            <c:strRef>
              <c:f>'Gasoline and electric vehicles'!$AU$5</c:f>
              <c:strCache>
                <c:ptCount val="1"/>
                <c:pt idx="0">
                  <c:v>Electric Vehicle - Hard coal</c:v>
                </c:pt>
              </c:strCache>
            </c:strRef>
          </c:tx>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vehicles'!$AU$6:$AU$46</c:f>
              <c:numCache>
                <c:formatCode>General</c:formatCode>
                <c:ptCount val="41"/>
                <c:pt idx="0">
                  <c:v>9298.2131226531</c:v>
                </c:pt>
                <c:pt idx="1">
                  <c:v>9560.5487806531</c:v>
                </c:pt>
                <c:pt idx="2">
                  <c:v>9822.8844386531</c:v>
                </c:pt>
                <c:pt idx="3">
                  <c:v>10085.2200966531</c:v>
                </c:pt>
                <c:pt idx="4">
                  <c:v>10609.8914126531</c:v>
                </c:pt>
                <c:pt idx="5">
                  <c:v>11134.5627286531</c:v>
                </c:pt>
                <c:pt idx="6">
                  <c:v>11921.5697026531</c:v>
                </c:pt>
                <c:pt idx="7">
                  <c:v>14544.9262826531</c:v>
                </c:pt>
                <c:pt idx="8">
                  <c:v>17168.2828626531</c:v>
                </c:pt>
                <c:pt idx="9">
                  <c:v>19791.6394426531</c:v>
                </c:pt>
                <c:pt idx="10">
                  <c:v>22414.9960226531</c:v>
                </c:pt>
                <c:pt idx="11">
                  <c:v>25038.3526026531</c:v>
                </c:pt>
                <c:pt idx="12">
                  <c:v>27661.7091826531</c:v>
                </c:pt>
                <c:pt idx="13">
                  <c:v>30285.0657626531</c:v>
                </c:pt>
                <c:pt idx="14">
                  <c:v>32908.4223426531</c:v>
                </c:pt>
                <c:pt idx="15">
                  <c:v>35531.7789226531</c:v>
                </c:pt>
                <c:pt idx="16">
                  <c:v>38155.1355026531</c:v>
                </c:pt>
                <c:pt idx="17">
                  <c:v>40778.4920826531</c:v>
                </c:pt>
                <c:pt idx="18">
                  <c:v>43401.8486626531</c:v>
                </c:pt>
                <c:pt idx="19">
                  <c:v>46025.2052426531</c:v>
                </c:pt>
                <c:pt idx="20">
                  <c:v>48648.5618226531</c:v>
                </c:pt>
                <c:pt idx="21">
                  <c:v>51271.9184026531</c:v>
                </c:pt>
                <c:pt idx="22">
                  <c:v>53895.2749826531</c:v>
                </c:pt>
                <c:pt idx="23">
                  <c:v>56518.6315626531</c:v>
                </c:pt>
                <c:pt idx="24">
                  <c:v>59141.9881426531</c:v>
                </c:pt>
                <c:pt idx="25">
                  <c:v>61765.3447226531</c:v>
                </c:pt>
                <c:pt idx="26">
                  <c:v>64388.7013026531</c:v>
                </c:pt>
                <c:pt idx="27">
                  <c:v>67012.0578826531</c:v>
                </c:pt>
                <c:pt idx="28">
                  <c:v>69635.4144626531</c:v>
                </c:pt>
                <c:pt idx="29">
                  <c:v>72258.7710426531</c:v>
                </c:pt>
                <c:pt idx="30">
                  <c:v>74882.1276226531</c:v>
                </c:pt>
                <c:pt idx="31">
                  <c:v>77505.4842026531</c:v>
                </c:pt>
                <c:pt idx="32">
                  <c:v>80128.8407826531</c:v>
                </c:pt>
                <c:pt idx="33">
                  <c:v>82752.1973626531</c:v>
                </c:pt>
                <c:pt idx="34">
                  <c:v>85375.5539426531</c:v>
                </c:pt>
                <c:pt idx="35">
                  <c:v>87998.9105226531</c:v>
                </c:pt>
                <c:pt idx="36">
                  <c:v>90622.2671026531</c:v>
                </c:pt>
                <c:pt idx="37">
                  <c:v>93245.6236826531</c:v>
                </c:pt>
                <c:pt idx="38">
                  <c:v>95868.9802626531</c:v>
                </c:pt>
                <c:pt idx="39">
                  <c:v>98492.3368426531</c:v>
                </c:pt>
                <c:pt idx="40">
                  <c:v>101115.693422653</c:v>
                </c:pt>
              </c:numCache>
            </c:numRef>
          </c:yVal>
          <c:smooth val="0"/>
        </c:ser>
        <c:axId val="29141994"/>
        <c:axId val="43521001"/>
      </c:scatterChart>
      <c:valAx>
        <c:axId val="29141994"/>
        <c:scaling>
          <c:orientation val="minMax"/>
          <c:max val="350000"/>
        </c:scaling>
        <c:delete val="0"/>
        <c:axPos val="b"/>
        <c:majorGridlines>
          <c:spPr>
            <a:ln w="9360">
              <a:solidFill>
                <a:srgbClr val="d9d9d9"/>
              </a:solidFill>
              <a:round/>
            </a:ln>
          </c:spPr>
        </c:majorGridlines>
        <c:title>
          <c:tx>
            <c:rich>
              <a:bodyPr rot="0"/>
              <a:lstStyle/>
              <a:p>
                <a:pPr>
                  <a:defRPr b="0" lang="en-US" sz="1800" spc="-1" strike="noStrike">
                    <a:solidFill>
                      <a:srgbClr val="595959"/>
                    </a:solidFill>
                    <a:latin typeface="Calibri"/>
                  </a:defRPr>
                </a:pPr>
                <a:r>
                  <a:rPr b="0" lang="en-US" sz="1800" spc="-1" strike="noStrike">
                    <a:solidFill>
                      <a:srgbClr val="595959"/>
                    </a:solidFill>
                    <a:latin typeface="Calibri"/>
                  </a:rPr>
                  <a:t>Distance over car lifetime</a:t>
                </a:r>
              </a:p>
            </c:rich>
          </c:tx>
          <c:layout>
            <c:manualLayout>
              <c:xMode val="edge"/>
              <c:yMode val="edge"/>
              <c:x val="0.450924787311466"/>
              <c:y val="0.886960784313726"/>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b="0" sz="1800" spc="-1" strike="noStrike">
                <a:solidFill>
                  <a:srgbClr val="595959"/>
                </a:solidFill>
                <a:latin typeface="Calibri"/>
              </a:defRPr>
            </a:pPr>
          </a:p>
        </c:txPr>
        <c:crossAx val="43521001"/>
        <c:crosses val="autoZero"/>
        <c:crossBetween val="midCat"/>
      </c:valAx>
      <c:valAx>
        <c:axId val="43521001"/>
        <c:scaling>
          <c:orientation val="minMax"/>
        </c:scaling>
        <c:delete val="0"/>
        <c:axPos val="l"/>
        <c:majorGridlines>
          <c:spPr>
            <a:ln w="9360">
              <a:solidFill>
                <a:srgbClr val="d9d9d9"/>
              </a:solidFill>
              <a:round/>
            </a:ln>
          </c:spPr>
        </c:majorGridlines>
        <c:title>
          <c:tx>
            <c:rich>
              <a:bodyPr rot="-5400000"/>
              <a:lstStyle/>
              <a:p>
                <a:pPr>
                  <a:defRPr b="0" lang="en-US" sz="1800" spc="-1" strike="noStrike">
                    <a:solidFill>
                      <a:srgbClr val="595959"/>
                    </a:solidFill>
                    <a:latin typeface="Calibri"/>
                  </a:defRPr>
                </a:pPr>
                <a:r>
                  <a:rPr b="0" lang="en-US" sz="1800" spc="-1" strike="noStrike">
                    <a:solidFill>
                      <a:srgbClr val="595959"/>
                    </a:solidFill>
                    <a:latin typeface="Calibri"/>
                  </a:rPr>
                  <a:t>Global warming score [kgCO2equ]
</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1800" spc="-1" strike="noStrike">
                <a:solidFill>
                  <a:srgbClr val="595959"/>
                </a:solidFill>
                <a:latin typeface="Calibri"/>
              </a:defRPr>
            </a:pPr>
          </a:p>
        </c:txPr>
        <c:crossAx val="29141994"/>
        <c:crosses val="autoZero"/>
        <c:crossBetween val="midCat"/>
      </c:valAx>
      <c:spPr>
        <a:noFill/>
        <a:ln w="0">
          <a:noFill/>
        </a:ln>
      </c:spPr>
    </c:plotArea>
    <c:legend>
      <c:legendPos val="b"/>
      <c:overlay val="0"/>
      <c:spPr>
        <a:noFill/>
        <a:ln w="0">
          <a:noFill/>
        </a:ln>
      </c:spPr>
      <c:txPr>
        <a:bodyPr/>
        <a:lstStyle/>
        <a:p>
          <a:pPr>
            <a:defRPr b="0" sz="18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160" spc="-1" strike="noStrike">
                <a:solidFill>
                  <a:srgbClr val="595959"/>
                </a:solidFill>
                <a:latin typeface="Calibri"/>
              </a:defRPr>
            </a:pPr>
            <a:r>
              <a:rPr b="0" lang="en-US" sz="2160" spc="-1" strike="noStrike">
                <a:solidFill>
                  <a:srgbClr val="595959"/>
                </a:solidFill>
                <a:latin typeface="Calibri"/>
              </a:rPr>
              <a:t>Sensitivity study: kgfossil CO2/V-km </a:t>
            </a:r>
          </a:p>
        </c:rich>
      </c:tx>
      <c:overlay val="0"/>
      <c:spPr>
        <a:noFill/>
        <a:ln w="0">
          <a:noFill/>
        </a:ln>
      </c:spPr>
    </c:title>
    <c:autoTitleDeleted val="0"/>
    <c:plotArea>
      <c:layout>
        <c:manualLayout>
          <c:layoutTarget val="inner"/>
          <c:xMode val="edge"/>
          <c:yMode val="edge"/>
          <c:x val="0.0701657331212687"/>
          <c:y val="0.0713616412684322"/>
          <c:w val="0.885969158426112"/>
          <c:h val="0.754154953888642"/>
        </c:manualLayout>
      </c:layout>
      <c:scatterChart>
        <c:scatterStyle val="lineMarker"/>
        <c:varyColors val="0"/>
        <c:ser>
          <c:idx val="0"/>
          <c:order val="0"/>
          <c:tx>
            <c:strRef>
              <c:f>'Gasoline and electric vehicles'!$AX$5</c:f>
              <c:strCache>
                <c:ptCount val="1"/>
                <c:pt idx="0">
                  <c:v>Gas Vehicle</c:v>
                </c:pt>
              </c:strCache>
            </c:strRef>
          </c:tx>
          <c:spPr>
            <a:solidFill>
              <a:srgbClr val="5b9bd5"/>
            </a:solidFill>
            <a:ln cap="rnd" w="19080">
              <a:solidFill>
                <a:srgbClr val="5b9bd5"/>
              </a:solidFill>
              <a:round/>
            </a:ln>
          </c:spPr>
          <c:marker>
            <c:symbol val="circle"/>
            <c:size val="5"/>
            <c:spPr>
              <a:solidFill>
                <a:srgbClr val="5b9bd5"/>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vehicles'!$AX$6:$AX$46</c:f>
              <c:numCache>
                <c:formatCode>General</c:formatCode>
                <c:ptCount val="41"/>
                <c:pt idx="0">
                  <c:v>597000.598934489</c:v>
                </c:pt>
                <c:pt idx="1">
                  <c:v>6.20210708453537</c:v>
                </c:pt>
                <c:pt idx="2">
                  <c:v>3.21710408986292</c:v>
                </c:pt>
                <c:pt idx="3">
                  <c:v>2.22210309163877</c:v>
                </c:pt>
                <c:pt idx="4">
                  <c:v>1.42610229305945</c:v>
                </c:pt>
                <c:pt idx="5">
                  <c:v>1.08495909366832</c:v>
                </c:pt>
                <c:pt idx="6">
                  <c:v>0.829101694124965</c:v>
                </c:pt>
                <c:pt idx="7">
                  <c:v>0.530601394657721</c:v>
                </c:pt>
                <c:pt idx="8">
                  <c:v>0.431101294835306</c:v>
                </c:pt>
                <c:pt idx="9">
                  <c:v>0.381351244924098</c:v>
                </c:pt>
                <c:pt idx="10">
                  <c:v>0.351501214977374</c:v>
                </c:pt>
                <c:pt idx="11">
                  <c:v>0.331601195012891</c:v>
                </c:pt>
                <c:pt idx="12">
                  <c:v>0.31738689503826</c:v>
                </c:pt>
                <c:pt idx="13">
                  <c:v>0.306726170057287</c:v>
                </c:pt>
                <c:pt idx="14">
                  <c:v>0.298434495072086</c:v>
                </c:pt>
                <c:pt idx="15">
                  <c:v>0.291801155083925</c:v>
                </c:pt>
                <c:pt idx="16">
                  <c:v>0.286373876911793</c:v>
                </c:pt>
                <c:pt idx="17">
                  <c:v>0.281851145101684</c:v>
                </c:pt>
                <c:pt idx="18">
                  <c:v>0.278024218185437</c:v>
                </c:pt>
                <c:pt idx="19">
                  <c:v>0.274743995114368</c:v>
                </c:pt>
                <c:pt idx="20">
                  <c:v>0.271901135119442</c:v>
                </c:pt>
                <c:pt idx="21">
                  <c:v>0.269413632623882</c:v>
                </c:pt>
                <c:pt idx="22">
                  <c:v>0.26721877748074</c:v>
                </c:pt>
                <c:pt idx="23">
                  <c:v>0.265267795131281</c:v>
                </c:pt>
                <c:pt idx="24">
                  <c:v>0.263522179344923</c:v>
                </c:pt>
                <c:pt idx="25">
                  <c:v>0.261951125137201</c:v>
                </c:pt>
                <c:pt idx="26">
                  <c:v>0.260529695139738</c:v>
                </c:pt>
                <c:pt idx="27">
                  <c:v>0.259237486051135</c:v>
                </c:pt>
                <c:pt idx="28">
                  <c:v>0.258057642970237</c:v>
                </c:pt>
                <c:pt idx="29">
                  <c:v>0.25697612014608</c:v>
                </c:pt>
                <c:pt idx="30">
                  <c:v>0.255981119147856</c:v>
                </c:pt>
                <c:pt idx="31">
                  <c:v>0.255062656687956</c:v>
                </c:pt>
                <c:pt idx="32">
                  <c:v>0.254212228484346</c:v>
                </c:pt>
                <c:pt idx="33">
                  <c:v>0.253422545152422</c:v>
                </c:pt>
                <c:pt idx="34">
                  <c:v>0.252687322739941</c:v>
                </c:pt>
                <c:pt idx="35">
                  <c:v>0.252001115154959</c:v>
                </c:pt>
                <c:pt idx="36">
                  <c:v>0.251359179027073</c:v>
                </c:pt>
                <c:pt idx="37">
                  <c:v>0.250757363907179</c:v>
                </c:pt>
                <c:pt idx="38">
                  <c:v>0.250192022430915</c:v>
                </c:pt>
                <c:pt idx="39">
                  <c:v>0.249659936335608</c:v>
                </c:pt>
                <c:pt idx="40">
                  <c:v>0.249158255160033</c:v>
                </c:pt>
              </c:numCache>
            </c:numRef>
          </c:yVal>
          <c:smooth val="0"/>
        </c:ser>
        <c:ser>
          <c:idx val="1"/>
          <c:order val="1"/>
          <c:tx>
            <c:strRef>
              <c:f>'Gasoline and electric vehicles'!$AY$5</c:f>
              <c:strCache>
                <c:ptCount val="1"/>
                <c:pt idx="0">
                  <c:v>Electric Vehicle</c:v>
                </c:pt>
              </c:strCache>
            </c:strRef>
          </c:tx>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vehicles'!$AY$6:$AY$46</c:f>
              <c:numCache>
                <c:formatCode>General</c:formatCode>
                <c:ptCount val="41"/>
                <c:pt idx="0">
                  <c:v>929821.31226531</c:v>
                </c:pt>
                <c:pt idx="1">
                  <c:v>9.4096203172531</c:v>
                </c:pt>
                <c:pt idx="2">
                  <c:v>4.76051375592655</c:v>
                </c:pt>
                <c:pt idx="3">
                  <c:v>3.2108115688177</c:v>
                </c:pt>
                <c:pt idx="4">
                  <c:v>1.97104981913062</c:v>
                </c:pt>
                <c:pt idx="5">
                  <c:v>1.43972335497901</c:v>
                </c:pt>
                <c:pt idx="6">
                  <c:v>1.04122850686531</c:v>
                </c:pt>
                <c:pt idx="7">
                  <c:v>0.576317850732655</c:v>
                </c:pt>
                <c:pt idx="8">
                  <c:v>0.42134763202177</c:v>
                </c:pt>
                <c:pt idx="9">
                  <c:v>0.343862522666328</c:v>
                </c:pt>
                <c:pt idx="10">
                  <c:v>0.297371457053062</c:v>
                </c:pt>
                <c:pt idx="11">
                  <c:v>0.266377413310885</c:v>
                </c:pt>
                <c:pt idx="12">
                  <c:v>0.244238810637901</c:v>
                </c:pt>
                <c:pt idx="13">
                  <c:v>0.227634858633164</c:v>
                </c:pt>
                <c:pt idx="14">
                  <c:v>0.21472067374059</c:v>
                </c:pt>
                <c:pt idx="15">
                  <c:v>0.204389325826531</c:v>
                </c:pt>
                <c:pt idx="16">
                  <c:v>0.195936404805937</c:v>
                </c:pt>
                <c:pt idx="17">
                  <c:v>0.188892303955443</c:v>
                </c:pt>
                <c:pt idx="18">
                  <c:v>0.182931910928101</c:v>
                </c:pt>
                <c:pt idx="19">
                  <c:v>0.177823002618951</c:v>
                </c:pt>
                <c:pt idx="20">
                  <c:v>0.173395282084354</c:v>
                </c:pt>
                <c:pt idx="21">
                  <c:v>0.169521026616582</c:v>
                </c:pt>
                <c:pt idx="22">
                  <c:v>0.166102565909724</c:v>
                </c:pt>
                <c:pt idx="23">
                  <c:v>0.163063934170295</c:v>
                </c:pt>
                <c:pt idx="24">
                  <c:v>0.160345158403437</c:v>
                </c:pt>
                <c:pt idx="25">
                  <c:v>0.157898260213266</c:v>
                </c:pt>
                <c:pt idx="26">
                  <c:v>0.155684399945967</c:v>
                </c:pt>
                <c:pt idx="27">
                  <c:v>0.153671799702969</c:v>
                </c:pt>
                <c:pt idx="28">
                  <c:v>0.151834208176753</c:v>
                </c:pt>
                <c:pt idx="29">
                  <c:v>0.150149749277721</c:v>
                </c:pt>
                <c:pt idx="30">
                  <c:v>0.148600047090612</c:v>
                </c:pt>
                <c:pt idx="31">
                  <c:v>0.14716955276405</c:v>
                </c:pt>
                <c:pt idx="32">
                  <c:v>0.145845020980197</c:v>
                </c:pt>
                <c:pt idx="33">
                  <c:v>0.144615098609475</c:v>
                </c:pt>
                <c:pt idx="34">
                  <c:v>0.143469998471218</c:v>
                </c:pt>
                <c:pt idx="35">
                  <c:v>0.142401238342177</c:v>
                </c:pt>
                <c:pt idx="36">
                  <c:v>0.141401430479526</c:v>
                </c:pt>
                <c:pt idx="37">
                  <c:v>0.140464110608291</c:v>
                </c:pt>
                <c:pt idx="38">
                  <c:v>0.139583598001979</c:v>
                </c:pt>
                <c:pt idx="39">
                  <c:v>0.138754880254862</c:v>
                </c:pt>
                <c:pt idx="40">
                  <c:v>0.13797351780758</c:v>
                </c:pt>
              </c:numCache>
            </c:numRef>
          </c:yVal>
          <c:smooth val="0"/>
        </c:ser>
        <c:ser>
          <c:idx val="2"/>
          <c:order val="2"/>
          <c:tx>
            <c:strRef>
              <c:f>'Gasoline and electric vehicles'!$AZ$5</c:f>
              <c:strCache>
                <c:ptCount val="1"/>
                <c:pt idx="0">
                  <c:v>Electric Vehicle - Wind</c:v>
                </c:pt>
              </c:strCache>
            </c:strRef>
          </c:tx>
          <c:spPr>
            <a:solidFill>
              <a:srgbClr val="a5a5a5"/>
            </a:solidFill>
            <a:ln cap="rnd" w="19080">
              <a:solidFill>
                <a:srgbClr val="a5a5a5"/>
              </a:solidFill>
              <a:round/>
            </a:ln>
          </c:spPr>
          <c:marker>
            <c:symbol val="circle"/>
            <c:size val="5"/>
            <c:spPr>
              <a:solidFill>
                <a:srgbClr val="a5a5a5"/>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vehicles'!$AZ$6:$AZ$46</c:f>
              <c:numCache>
                <c:formatCode>General</c:formatCode>
                <c:ptCount val="41"/>
                <c:pt idx="0">
                  <c:v>929821.31226531</c:v>
                </c:pt>
                <c:pt idx="1">
                  <c:v>9.3019783295531</c:v>
                </c:pt>
                <c:pt idx="2">
                  <c:v>4.65287176822655</c:v>
                </c:pt>
                <c:pt idx="3">
                  <c:v>3.1031695811177</c:v>
                </c:pt>
                <c:pt idx="4">
                  <c:v>1.86340783143062</c:v>
                </c:pt>
                <c:pt idx="5">
                  <c:v>1.33208136727901</c:v>
                </c:pt>
                <c:pt idx="6">
                  <c:v>0.93358651916531</c:v>
                </c:pt>
                <c:pt idx="7">
                  <c:v>0.468675863032655</c:v>
                </c:pt>
                <c:pt idx="8">
                  <c:v>0.31370564432177</c:v>
                </c:pt>
                <c:pt idx="9">
                  <c:v>0.236220534966328</c:v>
                </c:pt>
                <c:pt idx="10">
                  <c:v>0.189729469353062</c:v>
                </c:pt>
                <c:pt idx="11">
                  <c:v>0.158735425610885</c:v>
                </c:pt>
                <c:pt idx="12">
                  <c:v>0.136596822937901</c:v>
                </c:pt>
                <c:pt idx="13">
                  <c:v>0.119992870933164</c:v>
                </c:pt>
                <c:pt idx="14">
                  <c:v>0.10707868604059</c:v>
                </c:pt>
                <c:pt idx="15">
                  <c:v>0.096747338126531</c:v>
                </c:pt>
                <c:pt idx="16">
                  <c:v>0.0882944171059373</c:v>
                </c:pt>
                <c:pt idx="17">
                  <c:v>0.0812503162554425</c:v>
                </c:pt>
                <c:pt idx="18">
                  <c:v>0.0752899232281008</c:v>
                </c:pt>
                <c:pt idx="19">
                  <c:v>0.0701810149189507</c:v>
                </c:pt>
                <c:pt idx="20">
                  <c:v>0.065753294384354</c:v>
                </c:pt>
                <c:pt idx="21">
                  <c:v>0.0618790389165819</c:v>
                </c:pt>
                <c:pt idx="22">
                  <c:v>0.0584605782097241</c:v>
                </c:pt>
                <c:pt idx="23">
                  <c:v>0.055421946470295</c:v>
                </c:pt>
                <c:pt idx="24">
                  <c:v>0.0527031707034374</c:v>
                </c:pt>
                <c:pt idx="25">
                  <c:v>0.0502562725132655</c:v>
                </c:pt>
                <c:pt idx="26">
                  <c:v>0.0480424122459671</c:v>
                </c:pt>
                <c:pt idx="27">
                  <c:v>0.0460298120029686</c:v>
                </c:pt>
                <c:pt idx="28">
                  <c:v>0.0441922204767526</c:v>
                </c:pt>
                <c:pt idx="29">
                  <c:v>0.0425077615777213</c:v>
                </c:pt>
                <c:pt idx="30">
                  <c:v>0.0409580593906124</c:v>
                </c:pt>
                <c:pt idx="31">
                  <c:v>0.0395275650640504</c:v>
                </c:pt>
                <c:pt idx="32">
                  <c:v>0.0382030332801967</c:v>
                </c:pt>
                <c:pt idx="33">
                  <c:v>0.0369731109094754</c:v>
                </c:pt>
                <c:pt idx="34">
                  <c:v>0.0358280107712176</c:v>
                </c:pt>
                <c:pt idx="35">
                  <c:v>0.034759250642177</c:v>
                </c:pt>
                <c:pt idx="36">
                  <c:v>0.0337594427795261</c:v>
                </c:pt>
                <c:pt idx="37">
                  <c:v>0.0328221229082909</c:v>
                </c:pt>
                <c:pt idx="38">
                  <c:v>0.0319416103019791</c:v>
                </c:pt>
                <c:pt idx="39">
                  <c:v>0.0311128925548621</c:v>
                </c:pt>
                <c:pt idx="40">
                  <c:v>0.0303315301075803</c:v>
                </c:pt>
              </c:numCache>
            </c:numRef>
          </c:yVal>
          <c:smooth val="0"/>
        </c:ser>
        <c:ser>
          <c:idx val="3"/>
          <c:order val="3"/>
          <c:tx>
            <c:strRef>
              <c:f>'Gasoline and electric vehicles'!$BA$5</c:f>
              <c:strCache>
                <c:ptCount val="1"/>
                <c:pt idx="0">
                  <c:v>Electric Vehicle - Photovoltaic</c:v>
                </c:pt>
              </c:strCache>
            </c:strRef>
          </c:tx>
          <c:spPr>
            <a:solidFill>
              <a:srgbClr val="ffc000"/>
            </a:solidFill>
            <a:ln cap="rnd" w="19080">
              <a:solidFill>
                <a:srgbClr val="ffc000"/>
              </a:solidFill>
              <a:round/>
            </a:ln>
          </c:spPr>
          <c:marker>
            <c:symbol val="circle"/>
            <c:size val="5"/>
            <c:spPr>
              <a:solidFill>
                <a:srgbClr val="ffc000"/>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vehicles'!$BA$6:$BA$46</c:f>
              <c:numCache>
                <c:formatCode>General</c:formatCode>
                <c:ptCount val="41"/>
                <c:pt idx="0">
                  <c:v>929821.31226531</c:v>
                </c:pt>
                <c:pt idx="1">
                  <c:v>9.3185218414731</c:v>
                </c:pt>
                <c:pt idx="2">
                  <c:v>4.66941528014655</c:v>
                </c:pt>
                <c:pt idx="3">
                  <c:v>3.1197130930377</c:v>
                </c:pt>
                <c:pt idx="4">
                  <c:v>1.87995134335062</c:v>
                </c:pt>
                <c:pt idx="5">
                  <c:v>1.34862487919901</c:v>
                </c:pt>
                <c:pt idx="6">
                  <c:v>0.95013003108531</c:v>
                </c:pt>
                <c:pt idx="7">
                  <c:v>0.485219374952655</c:v>
                </c:pt>
                <c:pt idx="8">
                  <c:v>0.33024915624177</c:v>
                </c:pt>
                <c:pt idx="9">
                  <c:v>0.252764046886328</c:v>
                </c:pt>
                <c:pt idx="10">
                  <c:v>0.206272981273062</c:v>
                </c:pt>
                <c:pt idx="11">
                  <c:v>0.175278937530885</c:v>
                </c:pt>
                <c:pt idx="12">
                  <c:v>0.153140334857901</c:v>
                </c:pt>
                <c:pt idx="13">
                  <c:v>0.136536382853164</c:v>
                </c:pt>
                <c:pt idx="14">
                  <c:v>0.12362219796059</c:v>
                </c:pt>
                <c:pt idx="15">
                  <c:v>0.113290850046531</c:v>
                </c:pt>
                <c:pt idx="16">
                  <c:v>0.104837929025937</c:v>
                </c:pt>
                <c:pt idx="17">
                  <c:v>0.0977938281754425</c:v>
                </c:pt>
                <c:pt idx="18">
                  <c:v>0.0918334351481008</c:v>
                </c:pt>
                <c:pt idx="19">
                  <c:v>0.0867245268389507</c:v>
                </c:pt>
                <c:pt idx="20">
                  <c:v>0.082296806304354</c:v>
                </c:pt>
                <c:pt idx="21">
                  <c:v>0.0784225508365819</c:v>
                </c:pt>
                <c:pt idx="22">
                  <c:v>0.0750040901297241</c:v>
                </c:pt>
                <c:pt idx="23">
                  <c:v>0.071965458390295</c:v>
                </c:pt>
                <c:pt idx="24">
                  <c:v>0.0692466826234374</c:v>
                </c:pt>
                <c:pt idx="25">
                  <c:v>0.0667997844332655</c:v>
                </c:pt>
                <c:pt idx="26">
                  <c:v>0.0645859241659672</c:v>
                </c:pt>
                <c:pt idx="27">
                  <c:v>0.0625733239229686</c:v>
                </c:pt>
                <c:pt idx="28">
                  <c:v>0.0607357323967526</c:v>
                </c:pt>
                <c:pt idx="29">
                  <c:v>0.0590512734977213</c:v>
                </c:pt>
                <c:pt idx="30">
                  <c:v>0.0575015713106124</c:v>
                </c:pt>
                <c:pt idx="31">
                  <c:v>0.0560710769840504</c:v>
                </c:pt>
                <c:pt idx="32">
                  <c:v>0.0547465452001967</c:v>
                </c:pt>
                <c:pt idx="33">
                  <c:v>0.0535166228294754</c:v>
                </c:pt>
                <c:pt idx="34">
                  <c:v>0.0523715226912176</c:v>
                </c:pt>
                <c:pt idx="35">
                  <c:v>0.051302762562177</c:v>
                </c:pt>
                <c:pt idx="36">
                  <c:v>0.0503029546995261</c:v>
                </c:pt>
                <c:pt idx="37">
                  <c:v>0.0493656348282909</c:v>
                </c:pt>
                <c:pt idx="38">
                  <c:v>0.0484851222219791</c:v>
                </c:pt>
                <c:pt idx="39">
                  <c:v>0.0476564044748621</c:v>
                </c:pt>
                <c:pt idx="40">
                  <c:v>0.0468750420275803</c:v>
                </c:pt>
              </c:numCache>
            </c:numRef>
          </c:yVal>
          <c:smooth val="0"/>
        </c:ser>
        <c:ser>
          <c:idx val="4"/>
          <c:order val="4"/>
          <c:tx>
            <c:strRef>
              <c:f>'Gasoline and electric vehicles'!$BB$5</c:f>
              <c:strCache>
                <c:ptCount val="1"/>
                <c:pt idx="0">
                  <c:v>Electric Vehicle - Hard coal</c:v>
                </c:pt>
              </c:strCache>
            </c:strRef>
          </c:tx>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vehicles'!$BB$6:$BB$46</c:f>
              <c:numCache>
                <c:formatCode>General</c:formatCode>
                <c:ptCount val="41"/>
                <c:pt idx="0">
                  <c:v>929821.31226531</c:v>
                </c:pt>
                <c:pt idx="1">
                  <c:v>9.5605487806531</c:v>
                </c:pt>
                <c:pt idx="2">
                  <c:v>4.91144221932655</c:v>
                </c:pt>
                <c:pt idx="3">
                  <c:v>3.3617400322177</c:v>
                </c:pt>
                <c:pt idx="4">
                  <c:v>2.12197828253062</c:v>
                </c:pt>
                <c:pt idx="5">
                  <c:v>1.59065181837901</c:v>
                </c:pt>
                <c:pt idx="6">
                  <c:v>1.19215697026531</c:v>
                </c:pt>
                <c:pt idx="7">
                  <c:v>0.727246314132655</c:v>
                </c:pt>
                <c:pt idx="8">
                  <c:v>0.57227609542177</c:v>
                </c:pt>
                <c:pt idx="9">
                  <c:v>0.494790986066327</c:v>
                </c:pt>
                <c:pt idx="10">
                  <c:v>0.448299920453062</c:v>
                </c:pt>
                <c:pt idx="11">
                  <c:v>0.417305876710885</c:v>
                </c:pt>
                <c:pt idx="12">
                  <c:v>0.395167274037901</c:v>
                </c:pt>
                <c:pt idx="13">
                  <c:v>0.378563322033164</c:v>
                </c:pt>
                <c:pt idx="14">
                  <c:v>0.36564913714059</c:v>
                </c:pt>
                <c:pt idx="15">
                  <c:v>0.355317789226531</c:v>
                </c:pt>
                <c:pt idx="16">
                  <c:v>0.346864868205937</c:v>
                </c:pt>
                <c:pt idx="17">
                  <c:v>0.339820767355443</c:v>
                </c:pt>
                <c:pt idx="18">
                  <c:v>0.333860374328101</c:v>
                </c:pt>
                <c:pt idx="19">
                  <c:v>0.328751466018951</c:v>
                </c:pt>
                <c:pt idx="20">
                  <c:v>0.324323745484354</c:v>
                </c:pt>
                <c:pt idx="21">
                  <c:v>0.320449490016582</c:v>
                </c:pt>
                <c:pt idx="22">
                  <c:v>0.317031029309724</c:v>
                </c:pt>
                <c:pt idx="23">
                  <c:v>0.313992397570295</c:v>
                </c:pt>
                <c:pt idx="24">
                  <c:v>0.311273621803437</c:v>
                </c:pt>
                <c:pt idx="25">
                  <c:v>0.308826723613265</c:v>
                </c:pt>
                <c:pt idx="26">
                  <c:v>0.306612863345967</c:v>
                </c:pt>
                <c:pt idx="27">
                  <c:v>0.304600263102969</c:v>
                </c:pt>
                <c:pt idx="28">
                  <c:v>0.302762671576753</c:v>
                </c:pt>
                <c:pt idx="29">
                  <c:v>0.301078212677721</c:v>
                </c:pt>
                <c:pt idx="30">
                  <c:v>0.299528510490612</c:v>
                </c:pt>
                <c:pt idx="31">
                  <c:v>0.29809801616405</c:v>
                </c:pt>
                <c:pt idx="32">
                  <c:v>0.296773484380197</c:v>
                </c:pt>
                <c:pt idx="33">
                  <c:v>0.295543562009475</c:v>
                </c:pt>
                <c:pt idx="34">
                  <c:v>0.294398461871218</c:v>
                </c:pt>
                <c:pt idx="35">
                  <c:v>0.293329701742177</c:v>
                </c:pt>
                <c:pt idx="36">
                  <c:v>0.292329893879526</c:v>
                </c:pt>
                <c:pt idx="37">
                  <c:v>0.291392574008291</c:v>
                </c:pt>
                <c:pt idx="38">
                  <c:v>0.290512061401979</c:v>
                </c:pt>
                <c:pt idx="39">
                  <c:v>0.289683343654862</c:v>
                </c:pt>
                <c:pt idx="40">
                  <c:v>0.28890198120758</c:v>
                </c:pt>
              </c:numCache>
            </c:numRef>
          </c:yVal>
          <c:smooth val="0"/>
        </c:ser>
        <c:axId val="31702102"/>
        <c:axId val="79552490"/>
      </c:scatterChart>
      <c:valAx>
        <c:axId val="31702102"/>
        <c:scaling>
          <c:orientation val="minMax"/>
          <c:max val="350000"/>
        </c:scaling>
        <c:delete val="0"/>
        <c:axPos val="b"/>
        <c:majorGridlines>
          <c:spPr>
            <a:ln w="9360">
              <a:solidFill>
                <a:srgbClr val="d9d9d9"/>
              </a:solidFill>
              <a:round/>
            </a:ln>
          </c:spPr>
        </c:majorGridlines>
        <c:title>
          <c:tx>
            <c:rich>
              <a:bodyPr rot="0"/>
              <a:lstStyle/>
              <a:p>
                <a:pPr>
                  <a:defRPr b="0" lang="en-US" sz="1800" spc="-1" strike="noStrike">
                    <a:solidFill>
                      <a:srgbClr val="595959"/>
                    </a:solidFill>
                    <a:latin typeface="Calibri"/>
                  </a:defRPr>
                </a:pPr>
                <a:r>
                  <a:rPr b="0" lang="en-US" sz="1800" spc="-1" strike="noStrike">
                    <a:solidFill>
                      <a:srgbClr val="595959"/>
                    </a:solidFill>
                    <a:latin typeface="Calibri"/>
                  </a:rPr>
                  <a:t>Distance over car lifetime</a:t>
                </a:r>
              </a:p>
            </c:rich>
          </c:tx>
          <c:layout>
            <c:manualLayout>
              <c:xMode val="edge"/>
              <c:yMode val="edge"/>
              <c:x val="0.466542193946938"/>
              <c:y val="0.885781920402426"/>
            </c:manualLayout>
          </c:layout>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1800" spc="-1" strike="noStrike">
                <a:solidFill>
                  <a:srgbClr val="595959"/>
                </a:solidFill>
                <a:latin typeface="Calibri"/>
              </a:defRPr>
            </a:pPr>
          </a:p>
        </c:txPr>
        <c:crossAx val="79552490"/>
        <c:crosses val="autoZero"/>
        <c:crossBetween val="midCat"/>
      </c:valAx>
      <c:valAx>
        <c:axId val="79552490"/>
        <c:scaling>
          <c:orientation val="minMax"/>
          <c:max val="3"/>
        </c:scaling>
        <c:delete val="0"/>
        <c:axPos val="l"/>
        <c:majorGridlines>
          <c:spPr>
            <a:ln w="9360">
              <a:solidFill>
                <a:srgbClr val="d9d9d9"/>
              </a:solidFill>
              <a:round/>
            </a:ln>
          </c:spPr>
        </c:majorGridlines>
        <c:title>
          <c:tx>
            <c:rich>
              <a:bodyPr rot="-5400000"/>
              <a:lstStyle/>
              <a:p>
                <a:pPr>
                  <a:defRPr b="0" lang="en-US" sz="1800" spc="-1" strike="noStrike">
                    <a:solidFill>
                      <a:srgbClr val="595959"/>
                    </a:solidFill>
                    <a:latin typeface="Calibri"/>
                  </a:defRPr>
                </a:pPr>
                <a:r>
                  <a:rPr b="0" lang="en-US" sz="1800" spc="-1" strike="noStrike">
                    <a:solidFill>
                      <a:srgbClr val="595959"/>
                    </a:solidFill>
                    <a:latin typeface="Calibri"/>
                  </a:rPr>
                  <a:t>kg fossil CO2/V-km 
</a:t>
                </a:r>
              </a:p>
            </c:rich>
          </c:tx>
          <c:layout>
            <c:manualLayout>
              <c:xMode val="edge"/>
              <c:yMode val="edge"/>
              <c:x val="0.00797547426411267"/>
              <c:y val="0.353849188736006"/>
            </c:manualLayout>
          </c:layout>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1800" spc="-1" strike="noStrike">
                <a:solidFill>
                  <a:srgbClr val="595959"/>
                </a:solidFill>
                <a:latin typeface="Calibri"/>
              </a:defRPr>
            </a:pPr>
          </a:p>
        </c:txPr>
        <c:crossAx val="31702102"/>
        <c:crosses val="autoZero"/>
        <c:crossBetween val="midCat"/>
      </c:valAx>
      <c:spPr>
        <a:noFill/>
        <a:ln w="0">
          <a:noFill/>
        </a:ln>
      </c:spPr>
    </c:plotArea>
    <c:legend>
      <c:legendPos val="b"/>
      <c:layout>
        <c:manualLayout>
          <c:xMode val="edge"/>
          <c:yMode val="edge"/>
          <c:x val="0.112515467940608"/>
          <c:y val="0.940700093835421"/>
          <c:w val="0.77337028015383"/>
          <c:h val="0.048937211864061"/>
        </c:manualLayout>
      </c:layout>
      <c:overlay val="0"/>
      <c:spPr>
        <a:noFill/>
        <a:ln w="0">
          <a:noFill/>
        </a:ln>
      </c:spPr>
      <c:txPr>
        <a:bodyPr/>
        <a:lstStyle/>
        <a:p>
          <a:pPr>
            <a:defRPr b="0" sz="18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400" spc="-1" strike="noStrike">
                <a:solidFill>
                  <a:srgbClr val="595959"/>
                </a:solidFill>
                <a:latin typeface="Calibri"/>
              </a:defRPr>
            </a:pPr>
            <a:r>
              <a:rPr b="0" lang="en-US" sz="2400" spc="-1" strike="noStrike">
                <a:solidFill>
                  <a:srgbClr val="595959"/>
                </a:solidFill>
                <a:latin typeface="Calibri"/>
              </a:rPr>
              <a:t>Comparison of Global Warming score kgCO2equ</a:t>
            </a:r>
          </a:p>
        </c:rich>
      </c:tx>
      <c:layout>
        <c:manualLayout>
          <c:xMode val="edge"/>
          <c:yMode val="edge"/>
          <c:x val="0.380336410318189"/>
          <c:y val="0.0317849279068116"/>
        </c:manualLayout>
      </c:layout>
      <c:overlay val="0"/>
      <c:spPr>
        <a:noFill/>
        <a:ln w="0">
          <a:noFill/>
        </a:ln>
      </c:spPr>
    </c:title>
    <c:autoTitleDeleted val="0"/>
    <c:plotArea>
      <c:layout>
        <c:manualLayout>
          <c:layoutTarget val="inner"/>
          <c:xMode val="edge"/>
          <c:yMode val="edge"/>
          <c:x val="0.212688421401358"/>
          <c:y val="0.13402940549755"/>
          <c:w val="0.695152619452769"/>
          <c:h val="0.52301299808225"/>
        </c:manualLayout>
      </c:layout>
      <c:barChart>
        <c:barDir val="col"/>
        <c:grouping val="stacked"/>
        <c:varyColors val="0"/>
        <c:ser>
          <c:idx val="0"/>
          <c:order val="0"/>
          <c:tx>
            <c:strRef>
              <c:f>'Gasoline and electric vehicles'!$AD$6</c:f>
              <c:strCache>
                <c:ptCount val="1"/>
                <c:pt idx="0">
                  <c:v>Car manufacturing</c:v>
                </c:pt>
              </c:strCache>
            </c:strRef>
          </c:tx>
          <c:spPr>
            <a:solidFill>
              <a:srgbClr val="5b9bd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vehicles'!$AE$6:$AM$6</c:f>
              <c:numCache>
                <c:formatCode>0.00E+00</c:formatCode>
                <c:ptCount val="9"/>
                <c:pt idx="0">
                  <c:v>0.0389140348724226</c:v>
                </c:pt>
                <c:pt idx="2">
                  <c:v>0.0407709203508</c:v>
                </c:pt>
                <c:pt idx="4">
                  <c:v>0.0407709203508</c:v>
                </c:pt>
                <c:pt idx="6">
                  <c:v>0.0407709203508</c:v>
                </c:pt>
                <c:pt idx="8">
                  <c:v>0.0407709203508</c:v>
                </c:pt>
              </c:numCache>
            </c:numRef>
          </c:val>
        </c:ser>
        <c:ser>
          <c:idx val="1"/>
          <c:order val="1"/>
          <c:tx>
            <c:strRef>
              <c:f>'Gasoline and electric vehicles'!$AD$7</c:f>
              <c:strCache>
                <c:ptCount val="1"/>
                <c:pt idx="0">
                  <c:v>Car transportation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vehicles'!$AE$7:$AM$7</c:f>
              <c:numCache>
                <c:formatCode>0.00E+00</c:formatCode>
                <c:ptCount val="9"/>
                <c:pt idx="0">
                  <c:v>0.000886005056543333</c:v>
                </c:pt>
                <c:pt idx="2">
                  <c:v>0.000554471305436</c:v>
                </c:pt>
                <c:pt idx="4">
                  <c:v>0.000554471305436</c:v>
                </c:pt>
                <c:pt idx="6">
                  <c:v>0.000554471305436</c:v>
                </c:pt>
                <c:pt idx="8">
                  <c:v>0.000554471305436</c:v>
                </c:pt>
              </c:numCache>
            </c:numRef>
          </c:val>
        </c:ser>
        <c:ser>
          <c:idx val="2"/>
          <c:order val="2"/>
          <c:tx>
            <c:strRef>
              <c:f>'Gasoline and electric vehicles'!$AD$8</c:f>
              <c:strCache>
                <c:ptCount val="1"/>
                <c:pt idx="0">
                  <c:v>Car disposal</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vehicles'!$AE$8:$AM$8</c:f>
              <c:numCache>
                <c:formatCode>0.00E+00</c:formatCode>
                <c:ptCount val="9"/>
                <c:pt idx="0">
                  <c:v>0.00111353819746933</c:v>
                </c:pt>
                <c:pt idx="2">
                  <c:v>0.000139442194036</c:v>
                </c:pt>
                <c:pt idx="4">
                  <c:v>0.000139442194036</c:v>
                </c:pt>
                <c:pt idx="6">
                  <c:v>0.000139442194036</c:v>
                </c:pt>
                <c:pt idx="8">
                  <c:v>0.000139442194036</c:v>
                </c:pt>
              </c:numCache>
            </c:numRef>
          </c:val>
        </c:ser>
        <c:ser>
          <c:idx val="3"/>
          <c:order val="3"/>
          <c:tx>
            <c:strRef>
              <c:f>'Gasoline and electric vehicles'!$AD$9</c:f>
              <c:strCache>
                <c:ptCount val="1"/>
                <c:pt idx="0">
                  <c:v>Petrol gas </c:v>
                </c:pt>
              </c:strCache>
            </c:strRef>
          </c:tx>
          <c:spPr>
            <a:solidFill>
              <a:srgbClr val="70ad47"/>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vehicles'!$AE$9:$AM$9</c:f>
              <c:numCache>
                <c:formatCode>0.000</c:formatCode>
                <c:ptCount val="9"/>
                <c:pt idx="0">
                  <c:v>0.232101095190476</c:v>
                </c:pt>
              </c:numCache>
            </c:numRef>
          </c:val>
        </c:ser>
        <c:ser>
          <c:idx val="4"/>
          <c:order val="4"/>
          <c:tx>
            <c:strRef>
              <c:f>'Gasoline and electric vehicles'!$AD$10</c:f>
              <c:strCache>
                <c:ptCount val="1"/>
                <c:pt idx="0">
                  <c:v>Electric charging - RER</c:v>
                </c:pt>
              </c:strCache>
            </c:strRef>
          </c:tx>
          <c:spPr>
            <a:solidFill>
              <a:srgbClr val="255e9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vehicles'!$AE$10:$AM$10</c:f>
              <c:numCache>
                <c:formatCode>0.000</c:formatCode>
                <c:ptCount val="9"/>
                <c:pt idx="2">
                  <c:v>0.1114071946</c:v>
                </c:pt>
              </c:numCache>
            </c:numRef>
          </c:val>
        </c:ser>
        <c:ser>
          <c:idx val="5"/>
          <c:order val="5"/>
          <c:tx>
            <c:strRef>
              <c:f>'Gasoline and electric vehicles'!$AD$12</c:f>
              <c:strCache>
                <c:ptCount val="1"/>
                <c:pt idx="0">
                  <c:v>Electric charging - photovoltaic</c:v>
                </c:pt>
              </c:strCache>
            </c:strRef>
          </c:tx>
          <c:spPr>
            <a:solidFill>
              <a:srgbClr val="ffc000"/>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vehicles'!$AE$12:$AM$12</c:f>
              <c:numCache>
                <c:formatCode>0.000</c:formatCode>
                <c:ptCount val="9"/>
                <c:pt idx="6">
                  <c:v>0.02030871882</c:v>
                </c:pt>
              </c:numCache>
            </c:numRef>
          </c:val>
        </c:ser>
        <c:ser>
          <c:idx val="6"/>
          <c:order val="6"/>
          <c:tx>
            <c:strRef>
              <c:f>'Gasoline and electric vehicles'!$AD$11</c:f>
              <c:strCache>
                <c:ptCount val="1"/>
                <c:pt idx="0">
                  <c:v>Electric charging - wind</c:v>
                </c:pt>
              </c:strCache>
            </c:strRef>
          </c:tx>
          <c:spPr>
            <a:solidFill>
              <a:srgbClr val="9e480e"/>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vehicles'!$AE$11:$AM$11</c:f>
              <c:numCache>
                <c:formatCode>0.0000</c:formatCode>
                <c:ptCount val="9"/>
                <c:pt idx="4">
                  <c:v>0.0037652069</c:v>
                </c:pt>
              </c:numCache>
            </c:numRef>
          </c:val>
        </c:ser>
        <c:ser>
          <c:idx val="7"/>
          <c:order val="7"/>
          <c:tx>
            <c:strRef>
              <c:f>'Gasoline and electric vehicles'!$AD$13</c:f>
              <c:strCache>
                <c:ptCount val="1"/>
                <c:pt idx="0">
                  <c:v>Electric charging - hard coal</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vehicles'!$AE$13:$AM$13</c:f>
              <c:numCache>
                <c:formatCode>0.000</c:formatCode>
                <c:ptCount val="9"/>
                <c:pt idx="8">
                  <c:v>0.262335658</c:v>
                </c:pt>
              </c:numCache>
            </c:numRef>
          </c:val>
        </c:ser>
        <c:ser>
          <c:idx val="8"/>
          <c:order val="8"/>
          <c:tx>
            <c:strRef>
              <c:f>'Gasoline and electric vehicles'!$AD$15</c:f>
              <c:strCache>
                <c:ptCount val="1"/>
                <c:pt idx="0">
                  <c:v>Climate change, short term - Open LCA</c:v>
                </c:pt>
              </c:strCache>
            </c:strRef>
          </c:tx>
          <c:spPr>
            <a:solidFill>
              <a:srgbClr val="997300"/>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'Gasoline and electric vehicles'!$AE$5:$AM$5</c:f>
              <c:strCache>
                <c:ptCount val="9"/>
                <c:pt idx="0">
                  <c:v>Gas Vehicle</c:v>
                </c:pt>
                <c:pt idx="1">
                  <c:v/>
                </c:pt>
                <c:pt idx="2">
                  <c:v>Electric Vehicle - EU mix</c:v>
                </c:pt>
                <c:pt idx="3">
                  <c:v/>
                </c:pt>
                <c:pt idx="4">
                  <c:v>Electric Vehicle - Wind</c:v>
                </c:pt>
                <c:pt idx="5">
                  <c:v/>
                </c:pt>
                <c:pt idx="6">
                  <c:v>Electric Vehicle - Photovoltaic</c:v>
                </c:pt>
                <c:pt idx="7">
                  <c:v/>
                </c:pt>
                <c:pt idx="8">
                  <c:v>Electric Vehicle - 
hard coal</c:v>
                </c:pt>
              </c:strCache>
            </c:strRef>
          </c:cat>
          <c:val>
            <c:numRef>
              <c:f>'Gasoline and electric vehicles'!$AE$15:$AM$15</c:f>
              <c:numCache>
                <c:formatCode>0.000</c:formatCode>
                <c:ptCount val="9"/>
                <c:pt idx="1">
                  <c:v>0.273011</c:v>
                </c:pt>
                <c:pt idx="3">
                  <c:v>0.14781</c:v>
                </c:pt>
                <c:pt idx="5">
                  <c:v>0.031087</c:v>
                </c:pt>
                <c:pt idx="7">
                  <c:v>0.0395282</c:v>
                </c:pt>
              </c:numCache>
            </c:numRef>
          </c:val>
        </c:ser>
        <c:gapWidth val="150"/>
        <c:overlap val="100"/>
        <c:axId val="3697837"/>
        <c:axId val="55545445"/>
      </c:barChart>
      <c:catAx>
        <c:axId val="369783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2000" spc="-1" strike="noStrike">
                <a:solidFill>
                  <a:srgbClr val="595959"/>
                </a:solidFill>
                <a:latin typeface="Calibri"/>
              </a:defRPr>
            </a:pPr>
          </a:p>
        </c:txPr>
        <c:crossAx val="55545445"/>
        <c:crossesAt val="-0.05"/>
        <c:auto val="1"/>
        <c:lblAlgn val="ctr"/>
        <c:lblOffset val="100"/>
        <c:noMultiLvlLbl val="0"/>
      </c:catAx>
      <c:valAx>
        <c:axId val="55545445"/>
        <c:scaling>
          <c:orientation val="minMax"/>
        </c:scaling>
        <c:delete val="0"/>
        <c:axPos val="l"/>
        <c:majorGridlines>
          <c:spPr>
            <a:ln w="9360">
              <a:solidFill>
                <a:srgbClr val="d9d9d9"/>
              </a:solidFill>
              <a:round/>
            </a:ln>
          </c:spPr>
        </c:majorGridlines>
        <c:title>
          <c:tx>
            <c:rich>
              <a:bodyPr rot="-5400000"/>
              <a:lstStyle/>
              <a:p>
                <a:pPr>
                  <a:defRPr b="0" lang="en-US" sz="2400" spc="-1" strike="noStrike">
                    <a:solidFill>
                      <a:srgbClr val="595959"/>
                    </a:solidFill>
                    <a:latin typeface="Calibri"/>
                  </a:defRPr>
                </a:pPr>
                <a:r>
                  <a:rPr b="0" lang="en-US" sz="2400" spc="-1" strike="noStrike">
                    <a:solidFill>
                      <a:srgbClr val="595959"/>
                    </a:solidFill>
                    <a:latin typeface="Calibri"/>
                  </a:rPr>
                  <a:t>GW score [kgCO2equ/FU]</a:t>
                </a:r>
              </a:p>
            </c:rich>
          </c:tx>
          <c:layout>
            <c:manualLayout>
              <c:xMode val="edge"/>
              <c:yMode val="edge"/>
              <c:x val="0.0609875464935925"/>
              <c:y val="0.22728886994815"/>
            </c:manualLayout>
          </c:layout>
          <c:overlay val="0"/>
          <c:spPr>
            <a:noFill/>
            <a:ln w="0">
              <a:noFill/>
            </a:ln>
          </c:spPr>
        </c:title>
        <c:numFmt formatCode="0.000" sourceLinked="0"/>
        <c:majorTickMark val="none"/>
        <c:minorTickMark val="none"/>
        <c:tickLblPos val="nextTo"/>
        <c:spPr>
          <a:ln w="6480">
            <a:noFill/>
          </a:ln>
        </c:spPr>
        <c:txPr>
          <a:bodyPr/>
          <a:lstStyle/>
          <a:p>
            <a:pPr>
              <a:defRPr b="0" sz="2400" spc="-1" strike="noStrike">
                <a:solidFill>
                  <a:srgbClr val="595959"/>
                </a:solidFill>
                <a:latin typeface="Calibri"/>
              </a:defRPr>
            </a:pPr>
          </a:p>
        </c:txPr>
        <c:crossAx val="3697837"/>
        <c:crosses val="autoZero"/>
        <c:crossBetween val="between"/>
      </c:valAx>
      <c:spPr>
        <a:noFill/>
        <a:ln w="0">
          <a:noFill/>
        </a:ln>
      </c:spPr>
    </c:plotArea>
    <c:legend>
      <c:legendPos val="b"/>
      <c:layout>
        <c:manualLayout>
          <c:xMode val="edge"/>
          <c:yMode val="edge"/>
          <c:x val="0.0810404383866617"/>
          <c:y val="0.750805501106312"/>
          <c:w val="0.663837060505052"/>
          <c:h val="0.131486460533897"/>
        </c:manualLayout>
      </c:layout>
      <c:overlay val="0"/>
      <c:spPr>
        <a:noFill/>
        <a:ln w="0">
          <a:noFill/>
        </a:ln>
      </c:spPr>
      <c:txPr>
        <a:bodyPr/>
        <a:lstStyle/>
        <a:p>
          <a:pPr>
            <a:defRPr b="0" sz="24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160" spc="-1" strike="noStrike">
                <a:solidFill>
                  <a:srgbClr val="595959"/>
                </a:solidFill>
                <a:latin typeface="Calibri"/>
              </a:defRPr>
            </a:pPr>
            <a:r>
              <a:rPr b="0" lang="en-US" sz="2160" spc="-1" strike="noStrike">
                <a:solidFill>
                  <a:srgbClr val="595959"/>
                </a:solidFill>
                <a:latin typeface="Calibri"/>
              </a:rPr>
              <a:t>Cumulative global warming score over vehicle lifetime</a:t>
            </a:r>
          </a:p>
        </c:rich>
      </c:tx>
      <c:layout>
        <c:manualLayout>
          <c:xMode val="edge"/>
          <c:yMode val="edge"/>
          <c:x val="0.342581755593804"/>
          <c:y val="0.0192962542565267"/>
        </c:manualLayout>
      </c:layout>
      <c:overlay val="0"/>
      <c:spPr>
        <a:noFill/>
        <a:ln w="0">
          <a:noFill/>
        </a:ln>
      </c:spPr>
    </c:title>
    <c:autoTitleDeleted val="0"/>
    <c:plotArea>
      <c:scatterChart>
        <c:scatterStyle val="lineMarker"/>
        <c:varyColors val="0"/>
        <c:ser>
          <c:idx val="0"/>
          <c:order val="0"/>
          <c:tx>
            <c:strRef>
              <c:f>'Gasoline and electric vehicles'!$AQ$5</c:f>
              <c:strCache>
                <c:ptCount val="1"/>
                <c:pt idx="0">
                  <c:v>Gas Vehicle</c:v>
                </c:pt>
              </c:strCache>
            </c:strRef>
          </c:tx>
          <c:spPr>
            <a:solidFill>
              <a:srgbClr val="5b9bd5"/>
            </a:solidFill>
            <a:ln cap="rnd" w="19080">
              <a:solidFill>
                <a:srgbClr val="5b9bd5"/>
              </a:solidFill>
              <a:round/>
            </a:ln>
          </c:spPr>
          <c:marker>
            <c:symbol val="circle"/>
            <c:size val="5"/>
            <c:spPr>
              <a:solidFill>
                <a:srgbClr val="5b9bd5"/>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vehicles'!$AQ$6:$AQ$46</c:f>
              <c:numCache>
                <c:formatCode>General</c:formatCode>
                <c:ptCount val="41"/>
                <c:pt idx="0">
                  <c:v>5970.00598934489</c:v>
                </c:pt>
                <c:pt idx="1">
                  <c:v>6202.10708453537</c:v>
                </c:pt>
                <c:pt idx="2">
                  <c:v>6434.20817972584</c:v>
                </c:pt>
                <c:pt idx="3">
                  <c:v>6666.30927491632</c:v>
                </c:pt>
                <c:pt idx="4">
                  <c:v>7130.51146529727</c:v>
                </c:pt>
                <c:pt idx="5">
                  <c:v>7594.71365567822</c:v>
                </c:pt>
                <c:pt idx="6">
                  <c:v>8291.01694124965</c:v>
                </c:pt>
                <c:pt idx="7">
                  <c:v>10612.0278931544</c:v>
                </c:pt>
                <c:pt idx="8">
                  <c:v>12933.0388450592</c:v>
                </c:pt>
                <c:pt idx="9">
                  <c:v>15254.0497969639</c:v>
                </c:pt>
                <c:pt idx="10">
                  <c:v>17575.0607488687</c:v>
                </c:pt>
                <c:pt idx="11">
                  <c:v>19896.0717007735</c:v>
                </c:pt>
                <c:pt idx="12">
                  <c:v>22217.0826526782</c:v>
                </c:pt>
                <c:pt idx="13">
                  <c:v>24538.093604583</c:v>
                </c:pt>
                <c:pt idx="14">
                  <c:v>26859.1045564877</c:v>
                </c:pt>
                <c:pt idx="15">
                  <c:v>29180.1155083925</c:v>
                </c:pt>
                <c:pt idx="16">
                  <c:v>31501.1264602973</c:v>
                </c:pt>
                <c:pt idx="17">
                  <c:v>33822.137412202</c:v>
                </c:pt>
                <c:pt idx="18">
                  <c:v>36143.1483641068</c:v>
                </c:pt>
                <c:pt idx="19">
                  <c:v>38464.1593160116</c:v>
                </c:pt>
                <c:pt idx="20">
                  <c:v>40785.1702679163</c:v>
                </c:pt>
                <c:pt idx="21">
                  <c:v>43106.1812198211</c:v>
                </c:pt>
                <c:pt idx="22">
                  <c:v>45427.1921717258</c:v>
                </c:pt>
                <c:pt idx="23">
                  <c:v>47748.2031236306</c:v>
                </c:pt>
                <c:pt idx="24">
                  <c:v>50069.2140755354</c:v>
                </c:pt>
                <c:pt idx="25">
                  <c:v>52390.2250274401</c:v>
                </c:pt>
                <c:pt idx="26">
                  <c:v>54711.2359793449</c:v>
                </c:pt>
                <c:pt idx="27">
                  <c:v>57032.2469312497</c:v>
                </c:pt>
                <c:pt idx="28">
                  <c:v>59353.2578831544</c:v>
                </c:pt>
                <c:pt idx="29">
                  <c:v>61674.2688350592</c:v>
                </c:pt>
                <c:pt idx="30">
                  <c:v>63995.2797869639</c:v>
                </c:pt>
                <c:pt idx="31">
                  <c:v>66316.2907388687</c:v>
                </c:pt>
                <c:pt idx="32">
                  <c:v>68637.3016907735</c:v>
                </c:pt>
                <c:pt idx="33">
                  <c:v>70958.3126426782</c:v>
                </c:pt>
                <c:pt idx="34">
                  <c:v>73279.323594583</c:v>
                </c:pt>
                <c:pt idx="35">
                  <c:v>75600.3345464878</c:v>
                </c:pt>
                <c:pt idx="36">
                  <c:v>77921.3454983925</c:v>
                </c:pt>
                <c:pt idx="37">
                  <c:v>80242.3564502973</c:v>
                </c:pt>
                <c:pt idx="38">
                  <c:v>82563.367402202</c:v>
                </c:pt>
                <c:pt idx="39">
                  <c:v>84884.3783541068</c:v>
                </c:pt>
                <c:pt idx="40">
                  <c:v>87205.3893060116</c:v>
                </c:pt>
              </c:numCache>
            </c:numRef>
          </c:yVal>
          <c:smooth val="0"/>
        </c:ser>
        <c:ser>
          <c:idx val="1"/>
          <c:order val="1"/>
          <c:tx>
            <c:strRef>
              <c:f>'Gasoline and electric vehicles'!$AR$5</c:f>
              <c:strCache>
                <c:ptCount val="1"/>
                <c:pt idx="0">
                  <c:v>Electric Vehicle - EU mix</c:v>
                </c:pt>
              </c:strCache>
            </c:strRef>
          </c:tx>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vehicles'!$AR$6:$AR$46</c:f>
              <c:numCache>
                <c:formatCode>General</c:formatCode>
                <c:ptCount val="41"/>
                <c:pt idx="0">
                  <c:v>9298.2131226531</c:v>
                </c:pt>
                <c:pt idx="1">
                  <c:v>9409.6203172531</c:v>
                </c:pt>
                <c:pt idx="2">
                  <c:v>9521.0275118531</c:v>
                </c:pt>
                <c:pt idx="3">
                  <c:v>9632.4347064531</c:v>
                </c:pt>
                <c:pt idx="4">
                  <c:v>9855.2490956531</c:v>
                </c:pt>
                <c:pt idx="5">
                  <c:v>10078.0634848531</c:v>
                </c:pt>
                <c:pt idx="6">
                  <c:v>10412.2850686531</c:v>
                </c:pt>
                <c:pt idx="7">
                  <c:v>11526.3570146531</c:v>
                </c:pt>
                <c:pt idx="8">
                  <c:v>12640.4289606531</c:v>
                </c:pt>
                <c:pt idx="9">
                  <c:v>13754.5009066531</c:v>
                </c:pt>
                <c:pt idx="10">
                  <c:v>14868.5728526531</c:v>
                </c:pt>
                <c:pt idx="11">
                  <c:v>15982.6447986531</c:v>
                </c:pt>
                <c:pt idx="12">
                  <c:v>17096.7167446531</c:v>
                </c:pt>
                <c:pt idx="13">
                  <c:v>18210.7886906531</c:v>
                </c:pt>
                <c:pt idx="14">
                  <c:v>19324.8606366531</c:v>
                </c:pt>
                <c:pt idx="15">
                  <c:v>20438.9325826531</c:v>
                </c:pt>
                <c:pt idx="16">
                  <c:v>21553.0045286531</c:v>
                </c:pt>
                <c:pt idx="17">
                  <c:v>22667.0764746531</c:v>
                </c:pt>
                <c:pt idx="18">
                  <c:v>23781.1484206531</c:v>
                </c:pt>
                <c:pt idx="19">
                  <c:v>24895.2203666531</c:v>
                </c:pt>
                <c:pt idx="20">
                  <c:v>26009.2923126531</c:v>
                </c:pt>
                <c:pt idx="21">
                  <c:v>27123.3642586531</c:v>
                </c:pt>
                <c:pt idx="22">
                  <c:v>28237.4362046531</c:v>
                </c:pt>
                <c:pt idx="23">
                  <c:v>29351.5081506531</c:v>
                </c:pt>
                <c:pt idx="24">
                  <c:v>30465.5800966531</c:v>
                </c:pt>
                <c:pt idx="25">
                  <c:v>31579.6520426531</c:v>
                </c:pt>
                <c:pt idx="26">
                  <c:v>32693.7239886531</c:v>
                </c:pt>
                <c:pt idx="27">
                  <c:v>33807.7959346531</c:v>
                </c:pt>
                <c:pt idx="28">
                  <c:v>34921.8678806531</c:v>
                </c:pt>
                <c:pt idx="29">
                  <c:v>36035.9398266531</c:v>
                </c:pt>
                <c:pt idx="30">
                  <c:v>37150.0117726531</c:v>
                </c:pt>
                <c:pt idx="31">
                  <c:v>38264.0837186531</c:v>
                </c:pt>
                <c:pt idx="32">
                  <c:v>39378.1556646531</c:v>
                </c:pt>
                <c:pt idx="33">
                  <c:v>40492.2276106531</c:v>
                </c:pt>
                <c:pt idx="34">
                  <c:v>41606.2995566531</c:v>
                </c:pt>
                <c:pt idx="35">
                  <c:v>42720.3715026531</c:v>
                </c:pt>
                <c:pt idx="36">
                  <c:v>43834.4434486531</c:v>
                </c:pt>
                <c:pt idx="37">
                  <c:v>44948.5153946531</c:v>
                </c:pt>
                <c:pt idx="38">
                  <c:v>46062.5873406531</c:v>
                </c:pt>
                <c:pt idx="39">
                  <c:v>47176.6592866531</c:v>
                </c:pt>
                <c:pt idx="40">
                  <c:v>48290.7312326531</c:v>
                </c:pt>
              </c:numCache>
            </c:numRef>
          </c:yVal>
          <c:smooth val="0"/>
        </c:ser>
        <c:ser>
          <c:idx val="2"/>
          <c:order val="2"/>
          <c:tx>
            <c:strRef>
              <c:f>'Gasoline and electric vehicles'!$AS$5</c:f>
              <c:strCache>
                <c:ptCount val="1"/>
                <c:pt idx="0">
                  <c:v>Electric Vehicle - Wind</c:v>
                </c:pt>
              </c:strCache>
            </c:strRef>
          </c:tx>
          <c:spPr>
            <a:solidFill>
              <a:srgbClr val="a5a5a5"/>
            </a:solidFill>
            <a:ln cap="rnd" w="19080">
              <a:solidFill>
                <a:srgbClr val="a5a5a5"/>
              </a:solidFill>
              <a:round/>
            </a:ln>
          </c:spPr>
          <c:marker>
            <c:symbol val="circle"/>
            <c:size val="5"/>
            <c:spPr>
              <a:solidFill>
                <a:srgbClr val="a5a5a5"/>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vehicles'!$AS$6:$AS$46</c:f>
              <c:numCache>
                <c:formatCode>General</c:formatCode>
                <c:ptCount val="41"/>
                <c:pt idx="0">
                  <c:v>9298.2131226531</c:v>
                </c:pt>
                <c:pt idx="1">
                  <c:v>9301.9783295531</c:v>
                </c:pt>
                <c:pt idx="2">
                  <c:v>9305.7435364531</c:v>
                </c:pt>
                <c:pt idx="3">
                  <c:v>9309.5087433531</c:v>
                </c:pt>
                <c:pt idx="4">
                  <c:v>9317.0391571531</c:v>
                </c:pt>
                <c:pt idx="5">
                  <c:v>9324.5695709531</c:v>
                </c:pt>
                <c:pt idx="6">
                  <c:v>9335.8651916531</c:v>
                </c:pt>
                <c:pt idx="7">
                  <c:v>9373.5172606531</c:v>
                </c:pt>
                <c:pt idx="8">
                  <c:v>9411.1693296531</c:v>
                </c:pt>
                <c:pt idx="9">
                  <c:v>9448.8213986531</c:v>
                </c:pt>
                <c:pt idx="10">
                  <c:v>9486.4734676531</c:v>
                </c:pt>
                <c:pt idx="11">
                  <c:v>9524.1255366531</c:v>
                </c:pt>
                <c:pt idx="12">
                  <c:v>9561.7776056531</c:v>
                </c:pt>
                <c:pt idx="13">
                  <c:v>9599.4296746531</c:v>
                </c:pt>
                <c:pt idx="14">
                  <c:v>9637.0817436531</c:v>
                </c:pt>
                <c:pt idx="15">
                  <c:v>9674.7338126531</c:v>
                </c:pt>
                <c:pt idx="16">
                  <c:v>9712.3858816531</c:v>
                </c:pt>
                <c:pt idx="17">
                  <c:v>9750.0379506531</c:v>
                </c:pt>
                <c:pt idx="18">
                  <c:v>9787.6900196531</c:v>
                </c:pt>
                <c:pt idx="19">
                  <c:v>9825.3420886531</c:v>
                </c:pt>
                <c:pt idx="20">
                  <c:v>9862.9941576531</c:v>
                </c:pt>
                <c:pt idx="21">
                  <c:v>9900.6462266531</c:v>
                </c:pt>
                <c:pt idx="22">
                  <c:v>9938.2982956531</c:v>
                </c:pt>
                <c:pt idx="23">
                  <c:v>9975.9503646531</c:v>
                </c:pt>
                <c:pt idx="24">
                  <c:v>10013.6024336531</c:v>
                </c:pt>
                <c:pt idx="25">
                  <c:v>10051.2545026531</c:v>
                </c:pt>
                <c:pt idx="26">
                  <c:v>10088.9065716531</c:v>
                </c:pt>
                <c:pt idx="27">
                  <c:v>10126.5586406531</c:v>
                </c:pt>
                <c:pt idx="28">
                  <c:v>10164.2107096531</c:v>
                </c:pt>
                <c:pt idx="29">
                  <c:v>10201.8627786531</c:v>
                </c:pt>
                <c:pt idx="30">
                  <c:v>10239.5148476531</c:v>
                </c:pt>
                <c:pt idx="31">
                  <c:v>10277.1669166531</c:v>
                </c:pt>
                <c:pt idx="32">
                  <c:v>10314.8189856531</c:v>
                </c:pt>
                <c:pt idx="33">
                  <c:v>10352.4710546531</c:v>
                </c:pt>
                <c:pt idx="34">
                  <c:v>10390.1231236531</c:v>
                </c:pt>
                <c:pt idx="35">
                  <c:v>10427.7751926531</c:v>
                </c:pt>
                <c:pt idx="36">
                  <c:v>10465.4272616531</c:v>
                </c:pt>
                <c:pt idx="37">
                  <c:v>10503.0793306531</c:v>
                </c:pt>
                <c:pt idx="38">
                  <c:v>10540.7313996531</c:v>
                </c:pt>
                <c:pt idx="39">
                  <c:v>10578.3834686531</c:v>
                </c:pt>
                <c:pt idx="40">
                  <c:v>10616.0355376531</c:v>
                </c:pt>
              </c:numCache>
            </c:numRef>
          </c:yVal>
          <c:smooth val="0"/>
        </c:ser>
        <c:ser>
          <c:idx val="3"/>
          <c:order val="3"/>
          <c:tx>
            <c:strRef>
              <c:f>'Gasoline and electric vehicles'!$AT$5</c:f>
              <c:strCache>
                <c:ptCount val="1"/>
                <c:pt idx="0">
                  <c:v>Electric Vehicle - Photovoltaic</c:v>
                </c:pt>
              </c:strCache>
            </c:strRef>
          </c:tx>
          <c:spPr>
            <a:solidFill>
              <a:srgbClr val="ffc000"/>
            </a:solidFill>
            <a:ln cap="rnd" w="19080">
              <a:solidFill>
                <a:srgbClr val="ffc000"/>
              </a:solidFill>
              <a:round/>
            </a:ln>
          </c:spPr>
          <c:marker>
            <c:symbol val="circle"/>
            <c:size val="5"/>
            <c:spPr>
              <a:solidFill>
                <a:srgbClr val="ffc000"/>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vehicles'!$AT$6:$AT$46</c:f>
              <c:numCache>
                <c:formatCode>General</c:formatCode>
                <c:ptCount val="41"/>
                <c:pt idx="0">
                  <c:v>9298.2131226531</c:v>
                </c:pt>
                <c:pt idx="1">
                  <c:v>9318.5218414731</c:v>
                </c:pt>
                <c:pt idx="2">
                  <c:v>9338.8305602931</c:v>
                </c:pt>
                <c:pt idx="3">
                  <c:v>9359.1392791131</c:v>
                </c:pt>
                <c:pt idx="4">
                  <c:v>9399.7567167531</c:v>
                </c:pt>
                <c:pt idx="5">
                  <c:v>9440.3741543931</c:v>
                </c:pt>
                <c:pt idx="6">
                  <c:v>9501.3003108531</c:v>
                </c:pt>
                <c:pt idx="7">
                  <c:v>9704.3874990531</c:v>
                </c:pt>
                <c:pt idx="8">
                  <c:v>9907.4746872531</c:v>
                </c:pt>
                <c:pt idx="9">
                  <c:v>10110.5618754531</c:v>
                </c:pt>
                <c:pt idx="10">
                  <c:v>10313.6490636531</c:v>
                </c:pt>
                <c:pt idx="11">
                  <c:v>10516.7362518531</c:v>
                </c:pt>
                <c:pt idx="12">
                  <c:v>10719.8234400531</c:v>
                </c:pt>
                <c:pt idx="13">
                  <c:v>10922.9106282531</c:v>
                </c:pt>
                <c:pt idx="14">
                  <c:v>11125.9978164531</c:v>
                </c:pt>
                <c:pt idx="15">
                  <c:v>11329.0850046531</c:v>
                </c:pt>
                <c:pt idx="16">
                  <c:v>11532.1721928531</c:v>
                </c:pt>
                <c:pt idx="17">
                  <c:v>11735.2593810531</c:v>
                </c:pt>
                <c:pt idx="18">
                  <c:v>11938.3465692531</c:v>
                </c:pt>
                <c:pt idx="19">
                  <c:v>12141.4337574531</c:v>
                </c:pt>
                <c:pt idx="20">
                  <c:v>12344.5209456531</c:v>
                </c:pt>
                <c:pt idx="21">
                  <c:v>12547.6081338531</c:v>
                </c:pt>
                <c:pt idx="22">
                  <c:v>12750.6953220531</c:v>
                </c:pt>
                <c:pt idx="23">
                  <c:v>12953.7825102531</c:v>
                </c:pt>
                <c:pt idx="24">
                  <c:v>13156.8696984531</c:v>
                </c:pt>
                <c:pt idx="25">
                  <c:v>13359.9568866531</c:v>
                </c:pt>
                <c:pt idx="26">
                  <c:v>13563.0440748531</c:v>
                </c:pt>
                <c:pt idx="27">
                  <c:v>13766.1312630531</c:v>
                </c:pt>
                <c:pt idx="28">
                  <c:v>13969.2184512531</c:v>
                </c:pt>
                <c:pt idx="29">
                  <c:v>14172.3056394531</c:v>
                </c:pt>
                <c:pt idx="30">
                  <c:v>14375.3928276531</c:v>
                </c:pt>
                <c:pt idx="31">
                  <c:v>14578.4800158531</c:v>
                </c:pt>
                <c:pt idx="32">
                  <c:v>14781.5672040531</c:v>
                </c:pt>
                <c:pt idx="33">
                  <c:v>14984.6543922531</c:v>
                </c:pt>
                <c:pt idx="34">
                  <c:v>15187.7415804531</c:v>
                </c:pt>
                <c:pt idx="35">
                  <c:v>15390.8287686531</c:v>
                </c:pt>
                <c:pt idx="36">
                  <c:v>15593.9159568531</c:v>
                </c:pt>
                <c:pt idx="37">
                  <c:v>15797.0031450531</c:v>
                </c:pt>
                <c:pt idx="38">
                  <c:v>16000.0903332531</c:v>
                </c:pt>
                <c:pt idx="39">
                  <c:v>16203.1775214531</c:v>
                </c:pt>
                <c:pt idx="40">
                  <c:v>16406.2647096531</c:v>
                </c:pt>
              </c:numCache>
            </c:numRef>
          </c:yVal>
          <c:smooth val="0"/>
        </c:ser>
        <c:ser>
          <c:idx val="4"/>
          <c:order val="4"/>
          <c:tx>
            <c:strRef>
              <c:f>'Gasoline and electric vehicles'!$AU$5</c:f>
              <c:strCache>
                <c:ptCount val="1"/>
                <c:pt idx="0">
                  <c:v>Electric Vehicle - Hard coal</c:v>
                </c:pt>
              </c:strCache>
            </c:strRef>
          </c:tx>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8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vehicles'!$AU$6:$AU$46</c:f>
              <c:numCache>
                <c:formatCode>General</c:formatCode>
                <c:ptCount val="41"/>
                <c:pt idx="0">
                  <c:v>9298.2131226531</c:v>
                </c:pt>
                <c:pt idx="1">
                  <c:v>9560.5487806531</c:v>
                </c:pt>
                <c:pt idx="2">
                  <c:v>9822.8844386531</c:v>
                </c:pt>
                <c:pt idx="3">
                  <c:v>10085.2200966531</c:v>
                </c:pt>
                <c:pt idx="4">
                  <c:v>10609.8914126531</c:v>
                </c:pt>
                <c:pt idx="5">
                  <c:v>11134.5627286531</c:v>
                </c:pt>
                <c:pt idx="6">
                  <c:v>11921.5697026531</c:v>
                </c:pt>
                <c:pt idx="7">
                  <c:v>14544.9262826531</c:v>
                </c:pt>
                <c:pt idx="8">
                  <c:v>17168.2828626531</c:v>
                </c:pt>
                <c:pt idx="9">
                  <c:v>19791.6394426531</c:v>
                </c:pt>
                <c:pt idx="10">
                  <c:v>22414.9960226531</c:v>
                </c:pt>
                <c:pt idx="11">
                  <c:v>25038.3526026531</c:v>
                </c:pt>
                <c:pt idx="12">
                  <c:v>27661.7091826531</c:v>
                </c:pt>
                <c:pt idx="13">
                  <c:v>30285.0657626531</c:v>
                </c:pt>
                <c:pt idx="14">
                  <c:v>32908.4223426531</c:v>
                </c:pt>
                <c:pt idx="15">
                  <c:v>35531.7789226531</c:v>
                </c:pt>
                <c:pt idx="16">
                  <c:v>38155.1355026531</c:v>
                </c:pt>
                <c:pt idx="17">
                  <c:v>40778.4920826531</c:v>
                </c:pt>
                <c:pt idx="18">
                  <c:v>43401.8486626531</c:v>
                </c:pt>
                <c:pt idx="19">
                  <c:v>46025.2052426531</c:v>
                </c:pt>
                <c:pt idx="20">
                  <c:v>48648.5618226531</c:v>
                </c:pt>
                <c:pt idx="21">
                  <c:v>51271.9184026531</c:v>
                </c:pt>
                <c:pt idx="22">
                  <c:v>53895.2749826531</c:v>
                </c:pt>
                <c:pt idx="23">
                  <c:v>56518.6315626531</c:v>
                </c:pt>
                <c:pt idx="24">
                  <c:v>59141.9881426531</c:v>
                </c:pt>
                <c:pt idx="25">
                  <c:v>61765.3447226531</c:v>
                </c:pt>
                <c:pt idx="26">
                  <c:v>64388.7013026531</c:v>
                </c:pt>
                <c:pt idx="27">
                  <c:v>67012.0578826531</c:v>
                </c:pt>
                <c:pt idx="28">
                  <c:v>69635.4144626531</c:v>
                </c:pt>
                <c:pt idx="29">
                  <c:v>72258.7710426531</c:v>
                </c:pt>
                <c:pt idx="30">
                  <c:v>74882.1276226531</c:v>
                </c:pt>
                <c:pt idx="31">
                  <c:v>77505.4842026531</c:v>
                </c:pt>
                <c:pt idx="32">
                  <c:v>80128.8407826531</c:v>
                </c:pt>
                <c:pt idx="33">
                  <c:v>82752.1973626531</c:v>
                </c:pt>
                <c:pt idx="34">
                  <c:v>85375.5539426531</c:v>
                </c:pt>
                <c:pt idx="35">
                  <c:v>87998.9105226531</c:v>
                </c:pt>
                <c:pt idx="36">
                  <c:v>90622.2671026531</c:v>
                </c:pt>
                <c:pt idx="37">
                  <c:v>93245.6236826531</c:v>
                </c:pt>
                <c:pt idx="38">
                  <c:v>95868.9802626531</c:v>
                </c:pt>
                <c:pt idx="39">
                  <c:v>98492.3368426531</c:v>
                </c:pt>
                <c:pt idx="40">
                  <c:v>101115.693422653</c:v>
                </c:pt>
              </c:numCache>
            </c:numRef>
          </c:yVal>
          <c:smooth val="0"/>
        </c:ser>
        <c:axId val="80687867"/>
        <c:axId val="14972512"/>
      </c:scatterChart>
      <c:valAx>
        <c:axId val="80687867"/>
        <c:scaling>
          <c:orientation val="minMax"/>
          <c:max val="20000"/>
        </c:scaling>
        <c:delete val="0"/>
        <c:axPos val="b"/>
        <c:majorGridlines>
          <c:spPr>
            <a:ln w="9360">
              <a:solidFill>
                <a:srgbClr val="d9d9d9"/>
              </a:solidFill>
              <a:round/>
            </a:ln>
          </c:spPr>
        </c:majorGridlines>
        <c:title>
          <c:tx>
            <c:rich>
              <a:bodyPr rot="0"/>
              <a:lstStyle/>
              <a:p>
                <a:pPr>
                  <a:defRPr b="0" lang="en-US" sz="1800" spc="-1" strike="noStrike">
                    <a:solidFill>
                      <a:srgbClr val="595959"/>
                    </a:solidFill>
                    <a:latin typeface="Calibri"/>
                  </a:defRPr>
                </a:pPr>
                <a:r>
                  <a:rPr b="0" lang="en-US" sz="1800" spc="-1" strike="noStrike">
                    <a:solidFill>
                      <a:srgbClr val="595959"/>
                    </a:solidFill>
                    <a:latin typeface="Calibri"/>
                  </a:rPr>
                  <a:t>Distance over car lifetime</a:t>
                </a:r>
              </a:p>
            </c:rich>
          </c:tx>
          <c:layout>
            <c:manualLayout>
              <c:xMode val="edge"/>
              <c:yMode val="edge"/>
              <c:x val="0.447710843373494"/>
              <c:y val="0.809751764299462"/>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b="0" sz="1800" spc="-1" strike="noStrike">
                <a:solidFill>
                  <a:srgbClr val="595959"/>
                </a:solidFill>
                <a:latin typeface="Calibri"/>
              </a:defRPr>
            </a:pPr>
          </a:p>
        </c:txPr>
        <c:crossAx val="14972512"/>
        <c:crosses val="autoZero"/>
        <c:crossBetween val="midCat"/>
      </c:valAx>
      <c:valAx>
        <c:axId val="14972512"/>
        <c:scaling>
          <c:orientation val="minMax"/>
          <c:max val="12000"/>
          <c:min val="0"/>
        </c:scaling>
        <c:delete val="0"/>
        <c:axPos val="l"/>
        <c:majorGridlines>
          <c:spPr>
            <a:ln w="9360">
              <a:solidFill>
                <a:srgbClr val="d9d9d9"/>
              </a:solidFill>
              <a:round/>
            </a:ln>
          </c:spPr>
        </c:majorGridlines>
        <c:title>
          <c:tx>
            <c:rich>
              <a:bodyPr rot="-5400000"/>
              <a:lstStyle/>
              <a:p>
                <a:pPr>
                  <a:defRPr b="0" lang="en-US" sz="1800" spc="-1" strike="noStrike">
                    <a:solidFill>
                      <a:srgbClr val="595959"/>
                    </a:solidFill>
                    <a:latin typeface="Calibri"/>
                  </a:defRPr>
                </a:pPr>
                <a:r>
                  <a:rPr b="0" lang="en-US" sz="1800" spc="-1" strike="noStrike">
                    <a:solidFill>
                      <a:srgbClr val="595959"/>
                    </a:solidFill>
                    <a:latin typeface="Calibri"/>
                  </a:rPr>
                  <a:t>Global warming score [kgCO2equ]
</a:t>
                </a:r>
              </a:p>
            </c:rich>
          </c:tx>
          <c:layout>
            <c:manualLayout>
              <c:xMode val="edge"/>
              <c:yMode val="edge"/>
              <c:x val="0.0162478485370052"/>
              <c:y val="0.242609682672852"/>
            </c:manualLayout>
          </c:layout>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1800" spc="-1" strike="noStrike">
                <a:solidFill>
                  <a:srgbClr val="595959"/>
                </a:solidFill>
                <a:latin typeface="Calibri"/>
              </a:defRPr>
            </a:pPr>
          </a:p>
        </c:txPr>
        <c:crossAx val="80687867"/>
        <c:crosses val="autoZero"/>
        <c:crossBetween val="midCat"/>
      </c:valAx>
      <c:spPr>
        <a:noFill/>
        <a:ln w="0">
          <a:noFill/>
        </a:ln>
      </c:spPr>
    </c:plotArea>
    <c:legend>
      <c:legendPos val="b"/>
      <c:layout>
        <c:manualLayout>
          <c:xMode val="edge"/>
          <c:yMode val="edge"/>
          <c:x val="0.0935707360904211"/>
          <c:y val="0.860677495127733"/>
          <c:w val="0.886682351642982"/>
          <c:h val="0.129023843698219"/>
        </c:manualLayout>
      </c:layout>
      <c:overlay val="0"/>
      <c:spPr>
        <a:noFill/>
        <a:ln w="0">
          <a:noFill/>
        </a:ln>
      </c:spPr>
      <c:txPr>
        <a:bodyPr/>
        <a:lstStyle/>
        <a:p>
          <a:pPr>
            <a:defRPr b="0" sz="18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400" spc="-1" strike="noStrike">
                <a:solidFill>
                  <a:srgbClr val="595959"/>
                </a:solidFill>
                <a:latin typeface="Calibri"/>
              </a:defRPr>
            </a:pPr>
            <a:r>
              <a:rPr b="0" lang="en-US" sz="2400" spc="-1" strike="noStrike">
                <a:solidFill>
                  <a:srgbClr val="595959"/>
                </a:solidFill>
                <a:latin typeface="Calibri"/>
              </a:rPr>
              <a:t>Comparison of non-renewable primary energy</a:t>
            </a:r>
          </a:p>
        </c:rich>
      </c:tx>
      <c:layout>
        <c:manualLayout>
          <c:xMode val="edge"/>
          <c:yMode val="edge"/>
          <c:x val="0.345934692088538"/>
          <c:y val="0.0268887279748974"/>
        </c:manualLayout>
      </c:layout>
      <c:overlay val="0"/>
      <c:spPr>
        <a:noFill/>
        <a:ln w="0">
          <a:noFill/>
        </a:ln>
      </c:spPr>
    </c:title>
    <c:autoTitleDeleted val="0"/>
    <c:plotArea>
      <c:layout>
        <c:manualLayout>
          <c:layoutTarget val="inner"/>
          <c:xMode val="edge"/>
          <c:yMode val="edge"/>
          <c:x val="0.161918328584995"/>
          <c:y val="0.0855418778662805"/>
          <c:w val="0.804916356198408"/>
          <c:h val="0.624040550325851"/>
        </c:manualLayout>
      </c:layout>
      <c:barChart>
        <c:barDir val="col"/>
        <c:grouping val="stacked"/>
        <c:varyColors val="0"/>
        <c:ser>
          <c:idx val="0"/>
          <c:order val="0"/>
          <c:tx>
            <c:strRef>
              <c:f>'Life Cycle Costing petrol vs el'!$J$6</c:f>
              <c:strCache>
                <c:ptCount val="1"/>
                <c:pt idx="0">
                  <c:v>Purchase</c:v>
                </c:pt>
              </c:strCache>
            </c:strRef>
          </c:tx>
          <c:spPr>
            <a:solidFill>
              <a:srgbClr val="5b9bd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'Life Cycle Costing petrol vs el'!$K$5:$M$5</c:f>
              <c:strCache>
                <c:ptCount val="3"/>
                <c:pt idx="0">
                  <c:v>Petrol Vehicle</c:v>
                </c:pt>
                <c:pt idx="1">
                  <c:v>Electric Vehicle</c:v>
                </c:pt>
                <c:pt idx="2">
                  <c:v>Leased electric vehicle</c:v>
                </c:pt>
              </c:strCache>
            </c:strRef>
          </c:cat>
          <c:val>
            <c:numRef>
              <c:f>'Life Cycle Costing petrol vs el'!$K$6:$M$6</c:f>
              <c:numCache>
                <c:formatCode>0.000</c:formatCode>
                <c:ptCount val="3"/>
                <c:pt idx="0">
                  <c:v>0.266666666666667</c:v>
                </c:pt>
                <c:pt idx="1">
                  <c:v>0.266666666666667</c:v>
                </c:pt>
                <c:pt idx="2">
                  <c:v>0.00888888888888889</c:v>
                </c:pt>
              </c:numCache>
            </c:numRef>
          </c:val>
        </c:ser>
        <c:ser>
          <c:idx val="1"/>
          <c:order val="1"/>
          <c:tx>
            <c:strRef>
              <c:f>'Life Cycle Costing petrol vs el'!$J$7</c:f>
              <c:strCache>
                <c:ptCount val="1"/>
                <c:pt idx="0">
                  <c:v>Fixed annual costs</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'Life Cycle Costing petrol vs el'!$K$5:$M$5</c:f>
              <c:strCache>
                <c:ptCount val="3"/>
                <c:pt idx="0">
                  <c:v>Petrol Vehicle</c:v>
                </c:pt>
                <c:pt idx="1">
                  <c:v>Electric Vehicle</c:v>
                </c:pt>
                <c:pt idx="2">
                  <c:v>Leased electric vehicle</c:v>
                </c:pt>
              </c:strCache>
            </c:strRef>
          </c:cat>
          <c:val>
            <c:numRef>
              <c:f>'Life Cycle Costing petrol vs el'!$K$7:$M$7</c:f>
              <c:numCache>
                <c:formatCode>0.000</c:formatCode>
                <c:ptCount val="3"/>
                <c:pt idx="0">
                  <c:v>0.0466666666666667</c:v>
                </c:pt>
                <c:pt idx="1">
                  <c:v>0.0355555555555556</c:v>
                </c:pt>
                <c:pt idx="2">
                  <c:v>0.395555555555556</c:v>
                </c:pt>
              </c:numCache>
            </c:numRef>
          </c:val>
        </c:ser>
        <c:ser>
          <c:idx val="2"/>
          <c:order val="2"/>
          <c:tx>
            <c:strRef>
              <c:f>'Life Cycle Costing petrol vs el'!$J$8</c:f>
              <c:strCache>
                <c:ptCount val="1"/>
                <c:pt idx="0">
                  <c:v>Variable cost maintenance</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'Life Cycle Costing petrol vs el'!$K$5:$M$5</c:f>
              <c:strCache>
                <c:ptCount val="3"/>
                <c:pt idx="0">
                  <c:v>Petrol Vehicle</c:v>
                </c:pt>
                <c:pt idx="1">
                  <c:v>Electric Vehicle</c:v>
                </c:pt>
                <c:pt idx="2">
                  <c:v>Leased electric vehicle</c:v>
                </c:pt>
              </c:strCache>
            </c:strRef>
          </c:cat>
          <c:val>
            <c:numRef>
              <c:f>'Life Cycle Costing petrol vs el'!$K$8:$M$8</c:f>
              <c:numCache>
                <c:formatCode>0.0000</c:formatCode>
                <c:ptCount val="3"/>
                <c:pt idx="0">
                  <c:v>0.105</c:v>
                </c:pt>
                <c:pt idx="1">
                  <c:v>0.06</c:v>
                </c:pt>
                <c:pt idx="2">
                  <c:v>0</c:v>
                </c:pt>
              </c:numCache>
            </c:numRef>
          </c:val>
        </c:ser>
        <c:ser>
          <c:idx val="3"/>
          <c:order val="3"/>
          <c:tx>
            <c:strRef>
              <c:f>'Life Cycle Costing petrol vs el'!$J$9</c:f>
              <c:strCache>
                <c:ptCount val="1"/>
                <c:pt idx="0">
                  <c:v>Variable cost Fuel - Use phase</c:v>
                </c:pt>
              </c:strCache>
            </c:strRef>
          </c:tx>
          <c:spPr>
            <a:solidFill>
              <a:srgbClr val="70ad47"/>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'Life Cycle Costing petrol vs el'!$K$5:$M$5</c:f>
              <c:strCache>
                <c:ptCount val="3"/>
                <c:pt idx="0">
                  <c:v>Petrol Vehicle</c:v>
                </c:pt>
                <c:pt idx="1">
                  <c:v>Electric Vehicle</c:v>
                </c:pt>
                <c:pt idx="2">
                  <c:v>Leased electric vehicle</c:v>
                </c:pt>
              </c:strCache>
            </c:strRef>
          </c:cat>
          <c:val>
            <c:numRef>
              <c:f>'Life Cycle Costing petrol vs el'!$K$9:$M$9</c:f>
              <c:numCache>
                <c:formatCode>0.000</c:formatCode>
                <c:ptCount val="3"/>
                <c:pt idx="0">
                  <c:v>0.0765765765765766</c:v>
                </c:pt>
                <c:pt idx="1">
                  <c:v>0.13</c:v>
                </c:pt>
                <c:pt idx="2">
                  <c:v>0.13</c:v>
                </c:pt>
              </c:numCache>
            </c:numRef>
          </c:val>
        </c:ser>
        <c:ser>
          <c:idx val="4"/>
          <c:order val="4"/>
          <c:tx>
            <c:strRef>
              <c:f>'Life Cycle Costing petrol vs el'!$J$10</c:f>
              <c:strCache>
                <c:ptCount val="1"/>
                <c:pt idx="0">
                  <c:v>Resale </c:v>
                </c:pt>
              </c:strCache>
            </c:strRef>
          </c:tx>
          <c:spPr>
            <a:solidFill>
              <a:srgbClr val="255e9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'Life Cycle Costing petrol vs el'!$K$5:$M$5</c:f>
              <c:strCache>
                <c:ptCount val="3"/>
                <c:pt idx="0">
                  <c:v>Petrol Vehicle</c:v>
                </c:pt>
                <c:pt idx="1">
                  <c:v>Electric Vehicle</c:v>
                </c:pt>
                <c:pt idx="2">
                  <c:v>Leased electric vehicle</c:v>
                </c:pt>
              </c:strCache>
            </c:strRef>
          </c:cat>
          <c:val>
            <c:numRef>
              <c:f>'Life Cycle Costing petrol vs el'!$K$10:$M$10</c:f>
              <c:numCache>
                <c:formatCode>0.00</c:formatCode>
                <c:ptCount val="3"/>
                <c:pt idx="0">
                  <c:v>-0.02</c:v>
                </c:pt>
                <c:pt idx="1">
                  <c:v>-0.0133333333333333</c:v>
                </c:pt>
                <c:pt idx="2">
                  <c:v>0</c:v>
                </c:pt>
              </c:numCache>
            </c:numRef>
          </c:val>
        </c:ser>
        <c:gapWidth val="150"/>
        <c:overlap val="100"/>
        <c:axId val="55263004"/>
        <c:axId val="70751902"/>
      </c:barChart>
      <c:catAx>
        <c:axId val="5526300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2000" spc="-1" strike="noStrike">
                <a:solidFill>
                  <a:srgbClr val="595959"/>
                </a:solidFill>
                <a:latin typeface="Calibri"/>
              </a:defRPr>
            </a:pPr>
          </a:p>
        </c:txPr>
        <c:crossAx val="70751902"/>
        <c:crossesAt val="-0.05"/>
        <c:auto val="1"/>
        <c:lblAlgn val="ctr"/>
        <c:lblOffset val="100"/>
        <c:noMultiLvlLbl val="0"/>
      </c:catAx>
      <c:valAx>
        <c:axId val="70751902"/>
        <c:scaling>
          <c:orientation val="minMax"/>
        </c:scaling>
        <c:delete val="0"/>
        <c:axPos val="l"/>
        <c:majorGridlines>
          <c:spPr>
            <a:ln w="9360">
              <a:solidFill>
                <a:srgbClr val="d9d9d9"/>
              </a:solidFill>
              <a:round/>
            </a:ln>
          </c:spPr>
        </c:majorGridlines>
        <c:title>
          <c:tx>
            <c:rich>
              <a:bodyPr rot="-5400000"/>
              <a:lstStyle/>
              <a:p>
                <a:pPr>
                  <a:defRPr b="0" lang="en-US" sz="2400" spc="-1" strike="noStrike">
                    <a:solidFill>
                      <a:srgbClr val="595959"/>
                    </a:solidFill>
                    <a:latin typeface="Calibri"/>
                  </a:defRPr>
                </a:pPr>
                <a:r>
                  <a:rPr b="0" lang="en-US" sz="2400" spc="-1" strike="noStrike">
                    <a:solidFill>
                      <a:srgbClr val="595959"/>
                    </a:solidFill>
                    <a:latin typeface="Calibri"/>
                  </a:rPr>
                  <a:t>Cost (€/FU)</a:t>
                </a:r>
              </a:p>
            </c:rich>
          </c:tx>
          <c:layout>
            <c:manualLayout>
              <c:xMode val="edge"/>
              <c:yMode val="edge"/>
              <c:x val="0.000365256775513186"/>
              <c:y val="0.25821868211441"/>
            </c:manualLayout>
          </c:layout>
          <c:overlay val="0"/>
          <c:spPr>
            <a:noFill/>
            <a:ln w="0">
              <a:noFill/>
            </a:ln>
          </c:spPr>
        </c:title>
        <c:numFmt formatCode="0.000" sourceLinked="0"/>
        <c:majorTickMark val="none"/>
        <c:minorTickMark val="none"/>
        <c:tickLblPos val="nextTo"/>
        <c:spPr>
          <a:ln w="6480">
            <a:noFill/>
          </a:ln>
        </c:spPr>
        <c:txPr>
          <a:bodyPr/>
          <a:lstStyle/>
          <a:p>
            <a:pPr>
              <a:defRPr b="0" sz="2400" spc="-1" strike="noStrike">
                <a:solidFill>
                  <a:srgbClr val="595959"/>
                </a:solidFill>
                <a:latin typeface="Calibri"/>
              </a:defRPr>
            </a:pPr>
          </a:p>
        </c:txPr>
        <c:crossAx val="55263004"/>
        <c:crosses val="autoZero"/>
        <c:crossBetween val="between"/>
      </c:valAx>
      <c:spPr>
        <a:noFill/>
        <a:ln w="0">
          <a:noFill/>
        </a:ln>
      </c:spPr>
    </c:plotArea>
    <c:legend>
      <c:legendPos val="r"/>
      <c:layout>
        <c:manualLayout>
          <c:xMode val="edge"/>
          <c:yMode val="edge"/>
          <c:x val="0.233673135255218"/>
          <c:y val="0.799054231505539"/>
          <c:w val="0.399026229245034"/>
          <c:h val="0.179099781249024"/>
        </c:manualLayout>
      </c:layout>
      <c:overlay val="0"/>
      <c:spPr>
        <a:noFill/>
        <a:ln w="0">
          <a:noFill/>
        </a:ln>
      </c:spPr>
      <c:txPr>
        <a:bodyPr/>
        <a:lstStyle/>
        <a:p>
          <a:pPr>
            <a:defRPr b="0" sz="16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_rels/drawing2.xml.rels><?xml version="1.0" encoding="UTF-8"?>
<Relationships xmlns="http://schemas.openxmlformats.org/package/2006/relationships"><Relationship Id="rId1" Type="http://schemas.openxmlformats.org/officeDocument/2006/relationships/chart" Target="../charts/chart8.xml"/>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1676520</xdr:colOff>
      <xdr:row>17</xdr:row>
      <xdr:rowOff>192240</xdr:rowOff>
    </xdr:from>
    <xdr:to>
      <xdr:col>21</xdr:col>
      <xdr:colOff>639720</xdr:colOff>
      <xdr:row>57</xdr:row>
      <xdr:rowOff>122760</xdr:rowOff>
    </xdr:to>
    <xdr:graphicFrame>
      <xdr:nvGraphicFramePr>
        <xdr:cNvPr id="0" name="Chart 2"/>
        <xdr:cNvGraphicFramePr/>
      </xdr:nvGraphicFramePr>
      <xdr:xfrm>
        <a:off x="29889000" y="6002640"/>
        <a:ext cx="12776760" cy="10661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378000</xdr:colOff>
      <xdr:row>20</xdr:row>
      <xdr:rowOff>105480</xdr:rowOff>
    </xdr:from>
    <xdr:to>
      <xdr:col>25</xdr:col>
      <xdr:colOff>2072520</xdr:colOff>
      <xdr:row>60</xdr:row>
      <xdr:rowOff>128520</xdr:rowOff>
    </xdr:to>
    <xdr:graphicFrame>
      <xdr:nvGraphicFramePr>
        <xdr:cNvPr id="1" name="Chart 5"/>
        <xdr:cNvGraphicFramePr/>
      </xdr:nvGraphicFramePr>
      <xdr:xfrm>
        <a:off x="40239360" y="6687360"/>
        <a:ext cx="12780000" cy="10754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1265040</xdr:colOff>
      <xdr:row>19</xdr:row>
      <xdr:rowOff>131760</xdr:rowOff>
    </xdr:from>
    <xdr:to>
      <xdr:col>36</xdr:col>
      <xdr:colOff>1020960</xdr:colOff>
      <xdr:row>58</xdr:row>
      <xdr:rowOff>214560</xdr:rowOff>
    </xdr:to>
    <xdr:graphicFrame>
      <xdr:nvGraphicFramePr>
        <xdr:cNvPr id="2" name="Chart 3"/>
        <xdr:cNvGraphicFramePr/>
      </xdr:nvGraphicFramePr>
      <xdr:xfrm>
        <a:off x="58705920" y="6456240"/>
        <a:ext cx="18936720" cy="10557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40</xdr:col>
      <xdr:colOff>167760</xdr:colOff>
      <xdr:row>52</xdr:row>
      <xdr:rowOff>237600</xdr:rowOff>
    </xdr:from>
    <xdr:to>
      <xdr:col>46</xdr:col>
      <xdr:colOff>1523880</xdr:colOff>
      <xdr:row>81</xdr:row>
      <xdr:rowOff>123120</xdr:rowOff>
    </xdr:to>
    <xdr:graphicFrame>
      <xdr:nvGraphicFramePr>
        <xdr:cNvPr id="3" name="Chart 1"/>
        <xdr:cNvGraphicFramePr/>
      </xdr:nvGraphicFramePr>
      <xdr:xfrm>
        <a:off x="85448160" y="15493320"/>
        <a:ext cx="14344560" cy="7343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47</xdr:col>
      <xdr:colOff>23040</xdr:colOff>
      <xdr:row>53</xdr:row>
      <xdr:rowOff>131040</xdr:rowOff>
    </xdr:from>
    <xdr:to>
      <xdr:col>54</xdr:col>
      <xdr:colOff>487440</xdr:colOff>
      <xdr:row>81</xdr:row>
      <xdr:rowOff>229680</xdr:rowOff>
    </xdr:to>
    <xdr:graphicFrame>
      <xdr:nvGraphicFramePr>
        <xdr:cNvPr id="4" name="Chart 6"/>
        <xdr:cNvGraphicFramePr/>
      </xdr:nvGraphicFramePr>
      <xdr:xfrm>
        <a:off x="100456560" y="15644160"/>
        <a:ext cx="15617520" cy="72993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1143000</xdr:colOff>
      <xdr:row>60</xdr:row>
      <xdr:rowOff>108000</xdr:rowOff>
    </xdr:from>
    <xdr:to>
      <xdr:col>37</xdr:col>
      <xdr:colOff>1539000</xdr:colOff>
      <xdr:row>92</xdr:row>
      <xdr:rowOff>1329120</xdr:rowOff>
    </xdr:to>
    <xdr:graphicFrame>
      <xdr:nvGraphicFramePr>
        <xdr:cNvPr id="5" name="Chart 7"/>
        <xdr:cNvGraphicFramePr/>
      </xdr:nvGraphicFramePr>
      <xdr:xfrm>
        <a:off x="56419200" y="17421120"/>
        <a:ext cx="23906160" cy="101365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39</xdr:col>
      <xdr:colOff>1859400</xdr:colOff>
      <xdr:row>85</xdr:row>
      <xdr:rowOff>41040</xdr:rowOff>
    </xdr:from>
    <xdr:to>
      <xdr:col>44</xdr:col>
      <xdr:colOff>1493280</xdr:colOff>
      <xdr:row>99</xdr:row>
      <xdr:rowOff>58320</xdr:rowOff>
    </xdr:to>
    <xdr:graphicFrame>
      <xdr:nvGraphicFramePr>
        <xdr:cNvPr id="6" name="Chart 8"/>
        <xdr:cNvGraphicFramePr/>
      </xdr:nvGraphicFramePr>
      <xdr:xfrm>
        <a:off x="84975120" y="23783760"/>
        <a:ext cx="10457640" cy="72943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1953360</xdr:colOff>
      <xdr:row>18</xdr:row>
      <xdr:rowOff>86400</xdr:rowOff>
    </xdr:from>
    <xdr:to>
      <xdr:col>14</xdr:col>
      <xdr:colOff>159840</xdr:colOff>
      <xdr:row>44</xdr:row>
      <xdr:rowOff>69480</xdr:rowOff>
    </xdr:to>
    <xdr:graphicFrame>
      <xdr:nvGraphicFramePr>
        <xdr:cNvPr id="7" name="Chart 1"/>
        <xdr:cNvGraphicFramePr/>
      </xdr:nvGraphicFramePr>
      <xdr:xfrm>
        <a:off x="19855800" y="5277600"/>
        <a:ext cx="9855720" cy="7457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198000</xdr:colOff>
      <xdr:row>1</xdr:row>
      <xdr:rowOff>15120</xdr:rowOff>
    </xdr:from>
    <xdr:to>
      <xdr:col>19</xdr:col>
      <xdr:colOff>101520</xdr:colOff>
      <xdr:row>23</xdr:row>
      <xdr:rowOff>97920</xdr:rowOff>
    </xdr:to>
    <xdr:pic>
      <xdr:nvPicPr>
        <xdr:cNvPr id="8" name="Picture 1" descr=""/>
        <xdr:cNvPicPr/>
      </xdr:nvPicPr>
      <xdr:blipFill>
        <a:blip r:embed="rId1"/>
        <a:stretch/>
      </xdr:blipFill>
      <xdr:spPr>
        <a:xfrm>
          <a:off x="7386840" y="205560"/>
          <a:ext cx="6769800" cy="4515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45"/>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26" activeCellId="0" sqref="A26"/>
    </sheetView>
  </sheetViews>
  <sheetFormatPr defaultColWidth="30.71484375" defaultRowHeight="20.25" zeroHeight="false" outlineLevelRow="0" outlineLevelCol="0"/>
  <cols>
    <col collapsed="false" customWidth="true" hidden="false" outlineLevel="0" max="1" min="1" style="1" width="60.42"/>
    <col collapsed="false" customWidth="true" hidden="false" outlineLevel="0" max="2" min="2" style="2" width="32.29"/>
    <col collapsed="false" customWidth="true" hidden="false" outlineLevel="0" max="3" min="3" style="1" width="24.14"/>
    <col collapsed="false" customWidth="true" hidden="false" outlineLevel="0" max="4" min="4" style="1" width="13.15"/>
    <col collapsed="false" customWidth="true" hidden="false" outlineLevel="0" max="5" min="5" style="1" width="19"/>
    <col collapsed="false" customWidth="true" hidden="false" outlineLevel="0" max="6" min="6" style="3" width="16.14"/>
    <col collapsed="false" customWidth="true" hidden="false" outlineLevel="0" max="7" min="7" style="1" width="23.71"/>
    <col collapsed="false" customWidth="true" hidden="false" outlineLevel="0" max="8" min="8" style="1" width="19.42"/>
    <col collapsed="false" customWidth="true" hidden="false" outlineLevel="0" max="9" min="9" style="1" width="14.71"/>
    <col collapsed="false" customWidth="true" hidden="false" outlineLevel="0" max="10" min="10" style="1" width="23.71"/>
    <col collapsed="false" customWidth="false" hidden="false" outlineLevel="0" max="14" min="11" style="4" width="30.71"/>
    <col collapsed="false" customWidth="false" hidden="false" outlineLevel="0" max="15" min="15" style="1" width="30.71"/>
    <col collapsed="false" customWidth="true" hidden="false" outlineLevel="0" max="16" min="16" style="1" width="42.42"/>
    <col collapsed="false" customWidth="false" hidden="false" outlineLevel="0" max="22" min="17" style="1" width="30.71"/>
    <col collapsed="false" customWidth="true" hidden="false" outlineLevel="0" max="23" min="23" style="1" width="34.42"/>
    <col collapsed="false" customWidth="false" hidden="false" outlineLevel="0" max="29" min="24" style="1" width="30.71"/>
    <col collapsed="false" customWidth="true" hidden="false" outlineLevel="0" max="30" min="30" style="1" width="57.14"/>
    <col collapsed="false" customWidth="false" hidden="false" outlineLevel="0" max="16384" min="31" style="1" width="30.71"/>
  </cols>
  <sheetData>
    <row r="1" customFormat="false" ht="20.25" hidden="false" customHeight="false" outlineLevel="0" collapsed="false">
      <c r="A1" s="5" t="s">
        <v>0</v>
      </c>
      <c r="B1" s="6" t="n">
        <v>1000</v>
      </c>
    </row>
    <row r="2" customFormat="false" ht="64.5" hidden="false" customHeight="true" outlineLevel="0" collapsed="false">
      <c r="A2" s="5" t="s">
        <v>1</v>
      </c>
      <c r="B2" s="6" t="n">
        <v>1000</v>
      </c>
      <c r="AE2" s="7" t="s">
        <v>2</v>
      </c>
      <c r="AF2" s="7" t="s">
        <v>3</v>
      </c>
      <c r="AG2" s="7" t="s">
        <v>4</v>
      </c>
      <c r="AH2" s="7" t="s">
        <v>5</v>
      </c>
      <c r="AI2" s="7" t="s">
        <v>6</v>
      </c>
      <c r="AJ2" s="7" t="s">
        <v>7</v>
      </c>
      <c r="AK2" s="7" t="s">
        <v>8</v>
      </c>
      <c r="AL2" s="7" t="s">
        <v>9</v>
      </c>
      <c r="AM2" s="7" t="s">
        <v>10</v>
      </c>
      <c r="AN2" s="8"/>
      <c r="AP2" s="7" t="s">
        <v>11</v>
      </c>
      <c r="AQ2" s="1" t="s">
        <v>12</v>
      </c>
      <c r="AW2" s="7" t="s">
        <v>13</v>
      </c>
      <c r="AX2" s="1" t="s">
        <v>14</v>
      </c>
    </row>
    <row r="3" customFormat="false" ht="46.5" hidden="false" customHeight="true" outlineLevel="0" collapsed="false">
      <c r="AE3" s="7"/>
      <c r="AF3" s="7"/>
      <c r="AG3" s="7"/>
      <c r="AH3" s="7"/>
      <c r="AI3" s="7"/>
      <c r="AJ3" s="7"/>
      <c r="AK3" s="7"/>
      <c r="AL3" s="7"/>
      <c r="AM3" s="7"/>
      <c r="AN3" s="8"/>
      <c r="AP3" s="8"/>
      <c r="AW3" s="8"/>
    </row>
    <row r="4" customFormat="false" ht="20.25" hidden="false" customHeight="false" outlineLevel="0" collapsed="false">
      <c r="A4" s="5" t="s">
        <v>15</v>
      </c>
      <c r="B4" s="6" t="n">
        <v>150000</v>
      </c>
      <c r="AD4" s="7" t="s">
        <v>16</v>
      </c>
      <c r="AE4" s="7" t="n">
        <v>150000</v>
      </c>
      <c r="AF4" s="7"/>
      <c r="AG4" s="7" t="n">
        <f aca="false">1.5*$AE4</f>
        <v>225000</v>
      </c>
      <c r="AH4" s="7"/>
      <c r="AI4" s="7" t="n">
        <f aca="false">1.5*$AE4</f>
        <v>225000</v>
      </c>
      <c r="AJ4" s="7"/>
      <c r="AK4" s="7" t="n">
        <f aca="false">1.5*$AE4</f>
        <v>225000</v>
      </c>
      <c r="AL4" s="7"/>
      <c r="AM4" s="7" t="n">
        <f aca="false">1.5*$AE4</f>
        <v>225000</v>
      </c>
      <c r="AN4" s="8"/>
    </row>
    <row r="5" s="8" customFormat="true" ht="63" hidden="false" customHeight="true" outlineLevel="0" collapsed="false">
      <c r="A5" s="9" t="s">
        <v>17</v>
      </c>
      <c r="B5" s="10" t="s">
        <v>18</v>
      </c>
      <c r="C5" s="11" t="s">
        <v>19</v>
      </c>
      <c r="D5" s="12" t="s">
        <v>20</v>
      </c>
      <c r="E5" s="11" t="s">
        <v>21</v>
      </c>
      <c r="F5" s="13" t="s">
        <v>22</v>
      </c>
      <c r="G5" s="14" t="s">
        <v>23</v>
      </c>
      <c r="H5" s="11" t="s">
        <v>24</v>
      </c>
      <c r="I5" s="11" t="s">
        <v>25</v>
      </c>
      <c r="J5" s="14" t="s">
        <v>26</v>
      </c>
      <c r="K5" s="15" t="s">
        <v>27</v>
      </c>
      <c r="L5" s="11" t="s">
        <v>28</v>
      </c>
      <c r="M5" s="11" t="s">
        <v>29</v>
      </c>
      <c r="N5" s="16" t="s">
        <v>30</v>
      </c>
      <c r="O5" s="1"/>
      <c r="P5" s="7" t="s">
        <v>31</v>
      </c>
      <c r="Q5" s="7" t="s">
        <v>32</v>
      </c>
      <c r="R5" s="7" t="s">
        <v>33</v>
      </c>
      <c r="S5" s="7" t="s">
        <v>34</v>
      </c>
      <c r="T5" s="7" t="s">
        <v>35</v>
      </c>
      <c r="U5" s="7" t="s">
        <v>36</v>
      </c>
      <c r="W5" s="7" t="s">
        <v>37</v>
      </c>
      <c r="X5" s="7" t="s">
        <v>32</v>
      </c>
      <c r="Y5" s="7" t="s">
        <v>33</v>
      </c>
      <c r="Z5" s="7" t="s">
        <v>34</v>
      </c>
      <c r="AA5" s="7" t="s">
        <v>35</v>
      </c>
      <c r="AB5" s="7" t="s">
        <v>36</v>
      </c>
      <c r="AC5" s="1"/>
      <c r="AD5" s="7" t="s">
        <v>13</v>
      </c>
      <c r="AE5" s="7" t="s">
        <v>32</v>
      </c>
      <c r="AF5" s="7"/>
      <c r="AG5" s="7" t="s">
        <v>38</v>
      </c>
      <c r="AH5" s="7"/>
      <c r="AI5" s="7" t="s">
        <v>34</v>
      </c>
      <c r="AJ5" s="7"/>
      <c r="AK5" s="7" t="s">
        <v>35</v>
      </c>
      <c r="AL5" s="7"/>
      <c r="AM5" s="7" t="s">
        <v>36</v>
      </c>
      <c r="AP5" s="7" t="s">
        <v>39</v>
      </c>
      <c r="AQ5" s="7" t="s">
        <v>32</v>
      </c>
      <c r="AR5" s="7" t="s">
        <v>38</v>
      </c>
      <c r="AS5" s="7" t="s">
        <v>34</v>
      </c>
      <c r="AT5" s="7" t="s">
        <v>35</v>
      </c>
      <c r="AU5" s="7" t="s">
        <v>40</v>
      </c>
      <c r="AV5" s="7"/>
      <c r="AW5" s="7" t="s">
        <v>39</v>
      </c>
      <c r="AX5" s="7" t="s">
        <v>32</v>
      </c>
      <c r="AY5" s="7" t="s">
        <v>33</v>
      </c>
      <c r="AZ5" s="7" t="s">
        <v>34</v>
      </c>
      <c r="BA5" s="7" t="s">
        <v>35</v>
      </c>
      <c r="BB5" s="7" t="s">
        <v>40</v>
      </c>
    </row>
    <row r="6" customFormat="false" ht="20.25" hidden="false" customHeight="false" outlineLevel="0" collapsed="false">
      <c r="A6" s="17" t="s">
        <v>41</v>
      </c>
      <c r="B6" s="18" t="s">
        <v>42</v>
      </c>
      <c r="C6" s="19" t="s">
        <v>43</v>
      </c>
      <c r="D6" s="20"/>
      <c r="E6" s="21"/>
      <c r="F6" s="22"/>
      <c r="G6" s="23"/>
      <c r="H6" s="21"/>
      <c r="I6" s="21"/>
      <c r="J6" s="23"/>
      <c r="K6" s="24"/>
      <c r="L6" s="21"/>
      <c r="M6" s="21"/>
      <c r="N6" s="23"/>
      <c r="P6" s="25" t="s">
        <v>44</v>
      </c>
      <c r="Q6" s="26" t="n">
        <f aca="false">SUM(F7:F31)</f>
        <v>0.600217332352663</v>
      </c>
      <c r="R6" s="26" t="n">
        <f aca="false">SUM($F$54:$F$67)</f>
        <v>0.570112513067519</v>
      </c>
      <c r="S6" s="26" t="n">
        <f aca="false">SUM($F$54:$F$67)</f>
        <v>0.570112513067519</v>
      </c>
      <c r="T6" s="26" t="n">
        <f aca="false">SUM($F$54:$F$67)</f>
        <v>0.570112513067519</v>
      </c>
      <c r="U6" s="26" t="n">
        <f aca="false">SUM($F$54:$F$67)</f>
        <v>0.570112513067519</v>
      </c>
      <c r="W6" s="25" t="s">
        <v>44</v>
      </c>
      <c r="X6" s="27" t="n">
        <f aca="false">SUM(I7:I31)</f>
        <v>0.0346171723159217</v>
      </c>
      <c r="Y6" s="27" t="n">
        <f aca="false">SUM($I$54:$I$67)</f>
        <v>0.0359927840553067</v>
      </c>
      <c r="Z6" s="27" t="n">
        <f aca="false">SUM($I$54:$I$67)</f>
        <v>0.0359927840553067</v>
      </c>
      <c r="AA6" s="27" t="n">
        <f aca="false">SUM($I$54:$I$67)</f>
        <v>0.0359927840553067</v>
      </c>
      <c r="AB6" s="27" t="n">
        <f aca="false">SUM($I$54:$I$67)</f>
        <v>0.0359927840553067</v>
      </c>
      <c r="AD6" s="25" t="s">
        <v>44</v>
      </c>
      <c r="AE6" s="27" t="n">
        <f aca="false">SUM(M7:M31)</f>
        <v>0.0389140348724226</v>
      </c>
      <c r="AF6" s="27"/>
      <c r="AG6" s="27" t="n">
        <f aca="false">SUM($M$54:$M$67)</f>
        <v>0.0407709203508</v>
      </c>
      <c r="AH6" s="27"/>
      <c r="AI6" s="27" t="n">
        <f aca="false">SUM($M$54:$M$67)</f>
        <v>0.0407709203508</v>
      </c>
      <c r="AJ6" s="27"/>
      <c r="AK6" s="27" t="n">
        <f aca="false">SUM($M$54:$M$67)</f>
        <v>0.0407709203508</v>
      </c>
      <c r="AL6" s="27"/>
      <c r="AM6" s="27" t="n">
        <f aca="false">SUM($M$54:$M$67)</f>
        <v>0.0407709203508</v>
      </c>
      <c r="AN6" s="28"/>
      <c r="AP6" s="29" t="n">
        <v>0</v>
      </c>
      <c r="AQ6" s="29" t="n">
        <f aca="false">SUM(AE6:AE7)*AE4</f>
        <v>5970.00598934489</v>
      </c>
      <c r="AR6" s="29" t="n">
        <f aca="false">SUM(AG6:AG7)*AG4</f>
        <v>9298.2131226531</v>
      </c>
      <c r="AS6" s="29" t="n">
        <f aca="false">SUM(AI6:AI7)*AI4</f>
        <v>9298.2131226531</v>
      </c>
      <c r="AT6" s="29" t="n">
        <f aca="false">SUM(AK6:AK7)*AK4</f>
        <v>9298.2131226531</v>
      </c>
      <c r="AU6" s="29" t="n">
        <f aca="false">SUM(AM6:AM7)*AM4</f>
        <v>9298.2131226531</v>
      </c>
      <c r="AV6" s="29"/>
      <c r="AW6" s="29" t="n">
        <v>0.01</v>
      </c>
      <c r="AX6" s="29" t="n">
        <f aca="false">AQ6/$AW6</f>
        <v>597000.598934489</v>
      </c>
      <c r="AY6" s="29" t="n">
        <f aca="false">AR6/$AW6</f>
        <v>929821.31226531</v>
      </c>
      <c r="AZ6" s="29" t="n">
        <f aca="false">AS6/$AW6</f>
        <v>929821.31226531</v>
      </c>
      <c r="BA6" s="29" t="n">
        <f aca="false">AT6/$AW6</f>
        <v>929821.31226531</v>
      </c>
      <c r="BB6" s="29" t="n">
        <f aca="false">AU6/$AW6</f>
        <v>929821.31226531</v>
      </c>
    </row>
    <row r="7" customFormat="false" ht="20.25" hidden="false" customHeight="false" outlineLevel="0" collapsed="false">
      <c r="A7" s="30" t="s">
        <v>45</v>
      </c>
      <c r="B7" s="2" t="n">
        <v>4.4</v>
      </c>
      <c r="C7" s="31" t="n">
        <f aca="false">B7/$B$4</f>
        <v>2.93333333333333E-005</v>
      </c>
      <c r="D7" s="31" t="s">
        <v>46</v>
      </c>
      <c r="E7" s="32" t="n">
        <f aca="false">Processes!H4</f>
        <v>61.9127077</v>
      </c>
      <c r="F7" s="31" t="n">
        <f aca="false">E7*$C7</f>
        <v>0.00181610609253333</v>
      </c>
      <c r="G7" s="33" t="n">
        <f aca="false">F7/F$47</f>
        <v>0.00045621397839649</v>
      </c>
      <c r="H7" s="34" t="n">
        <f aca="false">Processes!G4</f>
        <v>4.8913828</v>
      </c>
      <c r="I7" s="31" t="n">
        <f aca="false">H7*$C7</f>
        <v>0.000143480562133333</v>
      </c>
      <c r="J7" s="33" t="n">
        <f aca="false">I7/I$47</f>
        <v>0.000540573162825135</v>
      </c>
      <c r="K7" s="35" t="n">
        <f aca="false">I7/F7*$B$2</f>
        <v>79.0045045954274</v>
      </c>
      <c r="L7" s="34" t="n">
        <f aca="false">Processes!J4</f>
        <v>5.4372182</v>
      </c>
      <c r="M7" s="31" t="n">
        <f aca="false">L7*$C7</f>
        <v>0.000159491733866667</v>
      </c>
      <c r="N7" s="33" t="n">
        <f aca="false">M7/M$47</f>
        <v>0.000584187406226079</v>
      </c>
      <c r="P7" s="36" t="s">
        <v>47</v>
      </c>
      <c r="Q7" s="26" t="n">
        <f aca="false">SUM(F33:F35)</f>
        <v>0.0125389571939137</v>
      </c>
      <c r="R7" s="37" t="n">
        <f aca="false">SUM($F$70:$F$72)</f>
        <v>0.00786719871797692</v>
      </c>
      <c r="S7" s="37" t="n">
        <f aca="false">SUM($F$70:$F$72)</f>
        <v>0.00786719871797692</v>
      </c>
      <c r="T7" s="37" t="n">
        <f aca="false">SUM($F$70:$F$72)</f>
        <v>0.00786719871797692</v>
      </c>
      <c r="U7" s="37" t="n">
        <f aca="false">SUM($F$70:$F$72)</f>
        <v>0.00786719871797692</v>
      </c>
      <c r="W7" s="36" t="s">
        <v>47</v>
      </c>
      <c r="X7" s="27" t="n">
        <f aca="false">SUM(I33:I35)</f>
        <v>0.00085108588345</v>
      </c>
      <c r="Y7" s="38" t="n">
        <f aca="false">SUM($I$70:$I$72)</f>
        <v>0.000532377269068</v>
      </c>
      <c r="Z7" s="38" t="n">
        <f aca="false">SUM($I$70:$I$72)</f>
        <v>0.000532377269068</v>
      </c>
      <c r="AA7" s="38" t="n">
        <f aca="false">SUM($I$70:$I$72)</f>
        <v>0.000532377269068</v>
      </c>
      <c r="AB7" s="38" t="n">
        <f aca="false">SUM($I$70:$I$72)</f>
        <v>0.000532377269068</v>
      </c>
      <c r="AD7" s="36" t="s">
        <v>47</v>
      </c>
      <c r="AE7" s="27" t="n">
        <f aca="false">SUM(M33:M35)</f>
        <v>0.000886005056543333</v>
      </c>
      <c r="AF7" s="27"/>
      <c r="AG7" s="38" t="n">
        <f aca="false">SUM($M$70:$M$72)</f>
        <v>0.000554471305436</v>
      </c>
      <c r="AH7" s="38"/>
      <c r="AI7" s="38" t="n">
        <f aca="false">SUM($M$70:$M$72)</f>
        <v>0.000554471305436</v>
      </c>
      <c r="AJ7" s="38"/>
      <c r="AK7" s="38" t="n">
        <f aca="false">SUM($M$70:$M$72)</f>
        <v>0.000554471305436</v>
      </c>
      <c r="AL7" s="38"/>
      <c r="AM7" s="38" t="n">
        <f aca="false">SUM($M$70:$M$72)</f>
        <v>0.000554471305436</v>
      </c>
      <c r="AN7" s="39"/>
      <c r="AP7" s="25" t="n">
        <v>1000</v>
      </c>
      <c r="AQ7" s="38" t="n">
        <f aca="false">AQ$6+AE$9*$AP7</f>
        <v>6202.10708453537</v>
      </c>
      <c r="AR7" s="38" t="n">
        <f aca="false">AR$6+AG$10*$AP7</f>
        <v>9409.6203172531</v>
      </c>
      <c r="AS7" s="38" t="n">
        <f aca="false">AS$6+AI$11*$AP7</f>
        <v>9301.9783295531</v>
      </c>
      <c r="AT7" s="38" t="n">
        <f aca="false">AT$6+AK$12*$AP7</f>
        <v>9318.5218414731</v>
      </c>
      <c r="AU7" s="38" t="n">
        <f aca="false">AU$6+AM$13*$AP7</f>
        <v>9560.5487806531</v>
      </c>
      <c r="AV7" s="38"/>
      <c r="AW7" s="25" t="n">
        <f aca="false">AP7</f>
        <v>1000</v>
      </c>
      <c r="AX7" s="38" t="n">
        <f aca="false">AQ7/$AW7</f>
        <v>6.20210708453537</v>
      </c>
      <c r="AY7" s="38" t="n">
        <f aca="false">AR7/$AW7</f>
        <v>9.4096203172531</v>
      </c>
      <c r="AZ7" s="38" t="n">
        <f aca="false">AS7/$AW7</f>
        <v>9.3019783295531</v>
      </c>
      <c r="BA7" s="38" t="n">
        <f aca="false">AT7/$AW7</f>
        <v>9.3185218414731</v>
      </c>
      <c r="BB7" s="38" t="n">
        <f aca="false">AU7/$AW7</f>
        <v>9.5605487806531</v>
      </c>
    </row>
    <row r="8" customFormat="false" ht="20.25" hidden="false" customHeight="false" outlineLevel="0" collapsed="false">
      <c r="A8" s="30" t="s">
        <v>48</v>
      </c>
      <c r="B8" s="2" t="n">
        <v>54.4</v>
      </c>
      <c r="C8" s="31" t="n">
        <f aca="false">B8/$B$4</f>
        <v>0.000362666666666667</v>
      </c>
      <c r="D8" s="31" t="s">
        <v>46</v>
      </c>
      <c r="E8" s="32" t="n">
        <f aca="false">Processes!H5</f>
        <v>218.8957750817</v>
      </c>
      <c r="F8" s="31" t="n">
        <f aca="false">E8*$C8</f>
        <v>0.0793862010962965</v>
      </c>
      <c r="G8" s="40" t="n">
        <f aca="false">F8/F$47</f>
        <v>0.0199421690069907</v>
      </c>
      <c r="H8" s="34" t="n">
        <f aca="false">Processes!G5</f>
        <v>19.24884</v>
      </c>
      <c r="I8" s="31" t="n">
        <f aca="false">H8*$C8</f>
        <v>0.00698091264</v>
      </c>
      <c r="J8" s="40" t="n">
        <f aca="false">I8/I$47</f>
        <v>0.026301081966099</v>
      </c>
      <c r="K8" s="35" t="n">
        <f aca="false">I8/F8*$B$2</f>
        <v>87.9360964953098</v>
      </c>
      <c r="L8" s="34" t="n">
        <f aca="false">Processes!J5</f>
        <v>20.97429</v>
      </c>
      <c r="M8" s="31" t="n">
        <f aca="false">L8*$C8</f>
        <v>0.00760667584</v>
      </c>
      <c r="N8" s="40" t="n">
        <f aca="false">M8/M$47</f>
        <v>0.0278617839385148</v>
      </c>
      <c r="P8" s="25" t="s">
        <v>49</v>
      </c>
      <c r="Q8" s="41" t="n">
        <f aca="false">SUM(F40:F44)</f>
        <v>0.000400192592704547</v>
      </c>
      <c r="R8" s="41" t="n">
        <f aca="false">SUM($F$79:$F$82)</f>
        <v>0.000236113081286349</v>
      </c>
      <c r="S8" s="41" t="n">
        <f aca="false">SUM($F$79:$F$82)</f>
        <v>0.000236113081286349</v>
      </c>
      <c r="T8" s="41" t="n">
        <f aca="false">SUM($F$79:$F$82)</f>
        <v>0.000236113081286349</v>
      </c>
      <c r="U8" s="41" t="n">
        <f aca="false">SUM($F$79:$F$82)</f>
        <v>0.000236113081286349</v>
      </c>
      <c r="W8" s="25" t="s">
        <v>49</v>
      </c>
      <c r="X8" s="38" t="n">
        <f aca="false">SUM(I40:I44)</f>
        <v>0.001107119142416</v>
      </c>
      <c r="Y8" s="38" t="n">
        <f aca="false">SUM($I$79:$I$82)</f>
        <v>8.02224739857778E-005</v>
      </c>
      <c r="Z8" s="38" t="n">
        <f aca="false">SUM($I$79:$I$82)</f>
        <v>8.02224739857778E-005</v>
      </c>
      <c r="AA8" s="38" t="n">
        <f aca="false">SUM($I$79:$I$82)</f>
        <v>8.02224739857778E-005</v>
      </c>
      <c r="AB8" s="38" t="n">
        <f aca="false">SUM($I$79:$I$82)</f>
        <v>8.02224739857778E-005</v>
      </c>
      <c r="AD8" s="25" t="s">
        <v>49</v>
      </c>
      <c r="AE8" s="38" t="n">
        <f aca="false">SUM(M40:M44)</f>
        <v>0.00111353819746933</v>
      </c>
      <c r="AF8" s="38"/>
      <c r="AG8" s="38" t="n">
        <f aca="false">SUM($M$79:$M$82)</f>
        <v>0.000139442194036</v>
      </c>
      <c r="AH8" s="38"/>
      <c r="AI8" s="38" t="n">
        <f aca="false">SUM($M$79:$M$82)</f>
        <v>0.000139442194036</v>
      </c>
      <c r="AJ8" s="38"/>
      <c r="AK8" s="38" t="n">
        <f aca="false">SUM($M$79:$M$82)</f>
        <v>0.000139442194036</v>
      </c>
      <c r="AL8" s="38"/>
      <c r="AM8" s="38" t="n">
        <f aca="false">SUM($M$79:$M$82)</f>
        <v>0.000139442194036</v>
      </c>
      <c r="AN8" s="39"/>
      <c r="AP8" s="25" t="n">
        <v>2000</v>
      </c>
      <c r="AQ8" s="38" t="n">
        <f aca="false">AQ$6+AE$9*$AP8</f>
        <v>6434.20817972584</v>
      </c>
      <c r="AR8" s="38" t="n">
        <f aca="false">AR$6+AG$10*$AP8</f>
        <v>9521.0275118531</v>
      </c>
      <c r="AS8" s="38" t="n">
        <f aca="false">AS$6+AI$11*$AP8</f>
        <v>9305.7435364531</v>
      </c>
      <c r="AT8" s="38" t="n">
        <f aca="false">AT$6+AK$12*$AP8</f>
        <v>9338.8305602931</v>
      </c>
      <c r="AU8" s="38" t="n">
        <f aca="false">AU$6+AM$13*$AP8</f>
        <v>9822.8844386531</v>
      </c>
      <c r="AV8" s="38"/>
      <c r="AW8" s="25" t="n">
        <f aca="false">AP8</f>
        <v>2000</v>
      </c>
      <c r="AX8" s="38" t="n">
        <f aca="false">AQ8/$AW8</f>
        <v>3.21710408986292</v>
      </c>
      <c r="AY8" s="38" t="n">
        <f aca="false">AR8/$AW8</f>
        <v>4.76051375592655</v>
      </c>
      <c r="AZ8" s="38" t="n">
        <f aca="false">AS8/$AW8</f>
        <v>4.65287176822655</v>
      </c>
      <c r="BA8" s="38" t="n">
        <f aca="false">AT8/$AW8</f>
        <v>4.66941528014655</v>
      </c>
      <c r="BB8" s="38" t="n">
        <f aca="false">AU8/$AW8</f>
        <v>4.91144221932655</v>
      </c>
    </row>
    <row r="9" customFormat="false" ht="20.25" hidden="false" customHeight="false" outlineLevel="0" collapsed="false">
      <c r="A9" s="30" t="s">
        <v>50</v>
      </c>
      <c r="B9" s="2" t="n">
        <v>2.5</v>
      </c>
      <c r="C9" s="31" t="n">
        <f aca="false">B9/$B$4</f>
        <v>1.66666666666667E-005</v>
      </c>
      <c r="D9" s="31" t="s">
        <v>46</v>
      </c>
      <c r="E9" s="32" t="n">
        <f aca="false">Processes!H6</f>
        <v>56.3965236705</v>
      </c>
      <c r="F9" s="31" t="n">
        <f aca="false">E9*$C9</f>
        <v>0.000939942061175</v>
      </c>
      <c r="G9" s="40" t="n">
        <f aca="false">F9/F$47</f>
        <v>0.000236117652461965</v>
      </c>
      <c r="H9" s="34" t="n">
        <f aca="false">Processes!G6</f>
        <v>5.6316443</v>
      </c>
      <c r="I9" s="31" t="n">
        <f aca="false">H9*$C9</f>
        <v>9.38607383333333E-005</v>
      </c>
      <c r="J9" s="40" t="n">
        <f aca="false">I9/I$47</f>
        <v>0.000353626968221675</v>
      </c>
      <c r="K9" s="35" t="n">
        <f aca="false">I9/F9*$B$2</f>
        <v>99.8580042433681</v>
      </c>
      <c r="L9" s="34" t="n">
        <f aca="false">Processes!J6</f>
        <v>6.0199005</v>
      </c>
      <c r="M9" s="31" t="n">
        <f aca="false">L9*$C9</f>
        <v>0.000100331675</v>
      </c>
      <c r="N9" s="40" t="n">
        <f aca="false">M9/M$47</f>
        <v>0.000367495540737975</v>
      </c>
      <c r="P9" s="25" t="s">
        <v>51</v>
      </c>
      <c r="Q9" s="37" t="n">
        <f aca="false">F37</f>
        <v>3.36766431365619</v>
      </c>
      <c r="R9" s="37"/>
      <c r="S9" s="37"/>
      <c r="T9" s="37"/>
      <c r="U9" s="37"/>
      <c r="V9" s="42"/>
      <c r="W9" s="25" t="s">
        <v>51</v>
      </c>
      <c r="X9" s="37" t="n">
        <f aca="false">I37+I38</f>
        <v>0.228847644</v>
      </c>
      <c r="Y9" s="43"/>
      <c r="Z9" s="37"/>
      <c r="AA9" s="37"/>
      <c r="AB9" s="37"/>
      <c r="AD9" s="25" t="s">
        <v>51</v>
      </c>
      <c r="AE9" s="37" t="n">
        <f aca="false">M37+M38</f>
        <v>0.232101095190476</v>
      </c>
      <c r="AF9" s="37"/>
      <c r="AG9" s="43"/>
      <c r="AH9" s="43"/>
      <c r="AI9" s="37"/>
      <c r="AJ9" s="37"/>
      <c r="AK9" s="37"/>
      <c r="AL9" s="37"/>
      <c r="AM9" s="37"/>
      <c r="AN9" s="3"/>
      <c r="AP9" s="25" t="n">
        <v>3000</v>
      </c>
      <c r="AQ9" s="38" t="n">
        <f aca="false">AQ$6+AE$9*$AP9</f>
        <v>6666.30927491632</v>
      </c>
      <c r="AR9" s="38" t="n">
        <f aca="false">AR$6+AG$10*$AP9</f>
        <v>9632.4347064531</v>
      </c>
      <c r="AS9" s="38" t="n">
        <f aca="false">AS$6+AI$11*$AP9</f>
        <v>9309.5087433531</v>
      </c>
      <c r="AT9" s="38" t="n">
        <f aca="false">AT$6+AK$12*$AP9</f>
        <v>9359.1392791131</v>
      </c>
      <c r="AU9" s="38" t="n">
        <f aca="false">AU$6+AM$13*$AP9</f>
        <v>10085.2200966531</v>
      </c>
      <c r="AV9" s="38"/>
      <c r="AW9" s="25" t="n">
        <f aca="false">AP9</f>
        <v>3000</v>
      </c>
      <c r="AX9" s="38" t="n">
        <f aca="false">AQ9/$AW9</f>
        <v>2.22210309163877</v>
      </c>
      <c r="AY9" s="38" t="n">
        <f aca="false">AR9/$AW9</f>
        <v>3.2108115688177</v>
      </c>
      <c r="AZ9" s="38" t="n">
        <f aca="false">AS9/$AW9</f>
        <v>3.1031695811177</v>
      </c>
      <c r="BA9" s="38" t="n">
        <f aca="false">AT9/$AW9</f>
        <v>3.1197130930377</v>
      </c>
      <c r="BB9" s="38" t="n">
        <f aca="false">AU9/$AW9</f>
        <v>3.3617400322177</v>
      </c>
    </row>
    <row r="10" customFormat="false" ht="20.25" hidden="false" customHeight="false" outlineLevel="0" collapsed="false">
      <c r="A10" s="30" t="s">
        <v>52</v>
      </c>
      <c r="B10" s="2" t="n">
        <v>21.2</v>
      </c>
      <c r="C10" s="31" t="n">
        <f aca="false">B10/$B$4</f>
        <v>0.000141333333333333</v>
      </c>
      <c r="D10" s="31" t="s">
        <v>46</v>
      </c>
      <c r="E10" s="32" t="n">
        <f aca="false">Processes!H7</f>
        <v>74.579202517</v>
      </c>
      <c r="F10" s="31" t="n">
        <f aca="false">E10*$C10</f>
        <v>0.0105405272890693</v>
      </c>
      <c r="G10" s="40" t="n">
        <f aca="false">F10/F$47</f>
        <v>0.00264782762896592</v>
      </c>
      <c r="H10" s="34" t="n">
        <f aca="false">Processes!G7</f>
        <v>5.1792783</v>
      </c>
      <c r="I10" s="31" t="n">
        <f aca="false">H10*$C10</f>
        <v>0.0007320046664</v>
      </c>
      <c r="J10" s="40" t="n">
        <f aca="false">I10/I$47</f>
        <v>0.00275787933804503</v>
      </c>
      <c r="K10" s="35" t="n">
        <f aca="false">I10/F10*$B$2</f>
        <v>69.4466838636335</v>
      </c>
      <c r="L10" s="34" t="n">
        <f aca="false">Processes!J7</f>
        <v>5.8649728</v>
      </c>
      <c r="M10" s="31" t="n">
        <f aca="false">L10*$C10</f>
        <v>0.000828916155733333</v>
      </c>
      <c r="N10" s="40" t="n">
        <f aca="false">M10/M$47</f>
        <v>0.00303615972600542</v>
      </c>
      <c r="P10" s="25" t="s">
        <v>53</v>
      </c>
      <c r="Q10" s="44"/>
      <c r="R10" s="44" t="n">
        <f aca="false">F74</f>
        <v>2.3577678925736</v>
      </c>
      <c r="S10" s="44"/>
      <c r="T10" s="44"/>
      <c r="U10" s="44"/>
      <c r="V10" s="3"/>
      <c r="W10" s="25" t="s">
        <v>53</v>
      </c>
      <c r="X10" s="25"/>
      <c r="Y10" s="37" t="n">
        <f aca="false">I74</f>
        <v>0.1040352456</v>
      </c>
      <c r="Z10" s="44"/>
      <c r="AA10" s="44"/>
      <c r="AB10" s="44"/>
      <c r="AD10" s="25" t="s">
        <v>53</v>
      </c>
      <c r="AE10" s="25"/>
      <c r="AF10" s="25"/>
      <c r="AG10" s="37" t="n">
        <f aca="false">M74</f>
        <v>0.1114071946</v>
      </c>
      <c r="AH10" s="37"/>
      <c r="AI10" s="44"/>
      <c r="AJ10" s="44"/>
      <c r="AK10" s="44"/>
      <c r="AL10" s="44"/>
      <c r="AM10" s="44"/>
      <c r="AN10" s="45"/>
      <c r="AP10" s="25" t="n">
        <v>5000</v>
      </c>
      <c r="AQ10" s="38" t="n">
        <f aca="false">AQ$6+AE$9*$AP10</f>
        <v>7130.51146529727</v>
      </c>
      <c r="AR10" s="38" t="n">
        <f aca="false">AR$6+AG$10*$AP10</f>
        <v>9855.2490956531</v>
      </c>
      <c r="AS10" s="38" t="n">
        <f aca="false">AS$6+AI$11*$AP10</f>
        <v>9317.0391571531</v>
      </c>
      <c r="AT10" s="38" t="n">
        <f aca="false">AT$6+AK$12*$AP10</f>
        <v>9399.7567167531</v>
      </c>
      <c r="AU10" s="38" t="n">
        <f aca="false">AU$6+AM$13*$AP10</f>
        <v>10609.8914126531</v>
      </c>
      <c r="AV10" s="38"/>
      <c r="AW10" s="25" t="n">
        <f aca="false">AP10</f>
        <v>5000</v>
      </c>
      <c r="AX10" s="38" t="n">
        <f aca="false">AQ10/$AW10</f>
        <v>1.42610229305945</v>
      </c>
      <c r="AY10" s="38" t="n">
        <f aca="false">AR10/$AW10</f>
        <v>1.97104981913062</v>
      </c>
      <c r="AZ10" s="38" t="n">
        <f aca="false">AS10/$AW10</f>
        <v>1.86340783143062</v>
      </c>
      <c r="BA10" s="38" t="n">
        <f aca="false">AT10/$AW10</f>
        <v>1.87995134335062</v>
      </c>
      <c r="BB10" s="38" t="n">
        <f aca="false">AU10/$AW10</f>
        <v>2.12197828253062</v>
      </c>
    </row>
    <row r="11" customFormat="false" ht="20.25" hidden="false" customHeight="false" outlineLevel="0" collapsed="false">
      <c r="A11" s="30" t="s">
        <v>54</v>
      </c>
      <c r="B11" s="2" t="n">
        <v>6.1</v>
      </c>
      <c r="C11" s="31" t="n">
        <f aca="false">B11/$B$4</f>
        <v>4.06666666666667E-005</v>
      </c>
      <c r="D11" s="31" t="s">
        <v>46</v>
      </c>
      <c r="E11" s="32" t="n">
        <f aca="false">Processes!H8</f>
        <v>448.247294359</v>
      </c>
      <c r="F11" s="31" t="n">
        <f aca="false">E11*$C11</f>
        <v>0.0182287233039327</v>
      </c>
      <c r="G11" s="40" t="n">
        <f aca="false">F11/F$47</f>
        <v>0.00457913687629088</v>
      </c>
      <c r="H11" s="34" t="n">
        <f aca="false">Processes!G8</f>
        <v>27.933745</v>
      </c>
      <c r="I11" s="31" t="n">
        <f aca="false">H11*$C11</f>
        <v>0.00113597229666667</v>
      </c>
      <c r="J11" s="40" t="n">
        <f aca="false">I11/I$47</f>
        <v>0.00427985594815404</v>
      </c>
      <c r="K11" s="35" t="n">
        <f aca="false">I11/F11*$B$2</f>
        <v>62.317710227221</v>
      </c>
      <c r="L11" s="34" t="n">
        <f aca="false">Processes!J8</f>
        <v>31.49787</v>
      </c>
      <c r="M11" s="31" t="n">
        <f aca="false">L11*$C11</f>
        <v>0.00128091338</v>
      </c>
      <c r="N11" s="40" t="n">
        <f aca="false">M11/M$47</f>
        <v>0.00469173822944357</v>
      </c>
      <c r="P11" s="25" t="s">
        <v>55</v>
      </c>
      <c r="Q11" s="44"/>
      <c r="R11" s="44"/>
      <c r="S11" s="44" t="n">
        <f aca="false">F75</f>
        <v>0.0507162009939</v>
      </c>
      <c r="T11" s="44"/>
      <c r="U11" s="44"/>
      <c r="V11" s="3"/>
      <c r="W11" s="25" t="s">
        <v>55</v>
      </c>
      <c r="X11" s="25"/>
      <c r="Y11" s="37"/>
      <c r="Z11" s="41" t="n">
        <f aca="false">I75</f>
        <v>0.0033340684</v>
      </c>
      <c r="AA11" s="44"/>
      <c r="AB11" s="44"/>
      <c r="AD11" s="25" t="s">
        <v>55</v>
      </c>
      <c r="AE11" s="25"/>
      <c r="AF11" s="25"/>
      <c r="AG11" s="37"/>
      <c r="AH11" s="37"/>
      <c r="AI11" s="41" t="n">
        <f aca="false">M75</f>
        <v>0.0037652069</v>
      </c>
      <c r="AJ11" s="41"/>
      <c r="AK11" s="44"/>
      <c r="AL11" s="41"/>
      <c r="AM11" s="44"/>
      <c r="AN11" s="45"/>
      <c r="AP11" s="25" t="n">
        <v>7000</v>
      </c>
      <c r="AQ11" s="38" t="n">
        <f aca="false">AQ$6+AE$9*$AP11</f>
        <v>7594.71365567822</v>
      </c>
      <c r="AR11" s="38" t="n">
        <f aca="false">AR$6+AG$10*$AP11</f>
        <v>10078.0634848531</v>
      </c>
      <c r="AS11" s="38" t="n">
        <f aca="false">AS$6+AI$11*$AP11</f>
        <v>9324.5695709531</v>
      </c>
      <c r="AT11" s="38" t="n">
        <f aca="false">AT$6+AK$12*$AP11</f>
        <v>9440.3741543931</v>
      </c>
      <c r="AU11" s="38" t="n">
        <f aca="false">AU$6+AM$13*$AP11</f>
        <v>11134.5627286531</v>
      </c>
      <c r="AV11" s="38"/>
      <c r="AW11" s="25" t="n">
        <f aca="false">AP11</f>
        <v>7000</v>
      </c>
      <c r="AX11" s="38" t="n">
        <f aca="false">AQ11/$AW11</f>
        <v>1.08495909366832</v>
      </c>
      <c r="AY11" s="38" t="n">
        <f aca="false">AR11/$AW11</f>
        <v>1.43972335497901</v>
      </c>
      <c r="AZ11" s="38" t="n">
        <f aca="false">AS11/$AW11</f>
        <v>1.33208136727901</v>
      </c>
      <c r="BA11" s="38" t="n">
        <f aca="false">AT11/$AW11</f>
        <v>1.34862487919901</v>
      </c>
      <c r="BB11" s="38" t="n">
        <f aca="false">AU11/$AW11</f>
        <v>1.59065181837901</v>
      </c>
    </row>
    <row r="12" customFormat="false" ht="20.25" hidden="false" customHeight="false" outlineLevel="0" collapsed="false">
      <c r="A12" s="30" t="s">
        <v>56</v>
      </c>
      <c r="B12" s="2" t="n">
        <v>19.4</v>
      </c>
      <c r="C12" s="31" t="n">
        <f aca="false">B12/$B$4</f>
        <v>0.000129333333333333</v>
      </c>
      <c r="D12" s="31" t="s">
        <v>46</v>
      </c>
      <c r="E12" s="32" t="n">
        <f aca="false">Processes!H9</f>
        <v>66.7700786260748</v>
      </c>
      <c r="F12" s="31" t="n">
        <f aca="false">E12*$C12</f>
        <v>0.00863559683563901</v>
      </c>
      <c r="G12" s="40" t="n">
        <f aca="false">F12/F$47</f>
        <v>0.00216930057358018</v>
      </c>
      <c r="H12" s="34" t="n">
        <f aca="false">Processes!G9</f>
        <v>1.1303346</v>
      </c>
      <c r="I12" s="31" t="n">
        <f aca="false">H12*$C12</f>
        <v>0.0001461899416</v>
      </c>
      <c r="J12" s="40" t="n">
        <f aca="false">I12/I$47</f>
        <v>0.000550780941536152</v>
      </c>
      <c r="K12" s="35" t="n">
        <f aca="false">I12/F12*$B$2</f>
        <v>16.9287594572127</v>
      </c>
      <c r="L12" s="34" t="n">
        <f aca="false">Processes!J9</f>
        <v>1.4535583</v>
      </c>
      <c r="M12" s="31" t="n">
        <f aca="false">L12*$C12</f>
        <v>0.000187993540133333</v>
      </c>
      <c r="N12" s="40" t="n">
        <f aca="false">M12/M$47</f>
        <v>0.000688584015830948</v>
      </c>
      <c r="P12" s="25" t="s">
        <v>57</v>
      </c>
      <c r="Q12" s="44"/>
      <c r="R12" s="44"/>
      <c r="S12" s="44"/>
      <c r="T12" s="44" t="n">
        <f aca="false">F76</f>
        <v>0.2668055741442</v>
      </c>
      <c r="U12" s="44"/>
      <c r="V12" s="3"/>
      <c r="W12" s="25" t="s">
        <v>57</v>
      </c>
      <c r="X12" s="25"/>
      <c r="Y12" s="37"/>
      <c r="Z12" s="44"/>
      <c r="AA12" s="37" t="n">
        <f aca="false">I76</f>
        <v>0.01777043788</v>
      </c>
      <c r="AB12" s="37"/>
      <c r="AD12" s="25" t="s">
        <v>57</v>
      </c>
      <c r="AE12" s="25"/>
      <c r="AF12" s="25"/>
      <c r="AG12" s="37"/>
      <c r="AH12" s="37"/>
      <c r="AI12" s="44"/>
      <c r="AJ12" s="44"/>
      <c r="AK12" s="37" t="n">
        <f aca="false">M76</f>
        <v>0.02030871882</v>
      </c>
      <c r="AL12" s="44"/>
      <c r="AM12" s="37"/>
      <c r="AN12" s="3"/>
      <c r="AP12" s="25" t="n">
        <v>10000</v>
      </c>
      <c r="AQ12" s="38" t="n">
        <f aca="false">AQ$6+AE$9*$AP12</f>
        <v>8291.01694124965</v>
      </c>
      <c r="AR12" s="38" t="n">
        <f aca="false">AR$6+AG$10*$AP12</f>
        <v>10412.2850686531</v>
      </c>
      <c r="AS12" s="38" t="n">
        <f aca="false">AS$6+AI$11*$AP12</f>
        <v>9335.8651916531</v>
      </c>
      <c r="AT12" s="38" t="n">
        <f aca="false">AT$6+AK$12*$AP12</f>
        <v>9501.3003108531</v>
      </c>
      <c r="AU12" s="38" t="n">
        <f aca="false">AU$6+AM$13*$AP12</f>
        <v>11921.5697026531</v>
      </c>
      <c r="AV12" s="38"/>
      <c r="AW12" s="25" t="n">
        <f aca="false">AP12</f>
        <v>10000</v>
      </c>
      <c r="AX12" s="38" t="n">
        <f aca="false">AQ12/$AW12</f>
        <v>0.829101694124965</v>
      </c>
      <c r="AY12" s="38" t="n">
        <f aca="false">AR12/$AW12</f>
        <v>1.04122850686531</v>
      </c>
      <c r="AZ12" s="38" t="n">
        <f aca="false">AS12/$AW12</f>
        <v>0.93358651916531</v>
      </c>
      <c r="BA12" s="38" t="n">
        <f aca="false">AT12/$AW12</f>
        <v>0.95013003108531</v>
      </c>
      <c r="BB12" s="38" t="n">
        <f aca="false">AU12/$AW12</f>
        <v>1.19215697026531</v>
      </c>
    </row>
    <row r="13" customFormat="false" ht="20.25" hidden="false" customHeight="false" outlineLevel="0" collapsed="false">
      <c r="A13" s="30" t="s">
        <v>58</v>
      </c>
      <c r="B13" s="2" t="n">
        <v>5</v>
      </c>
      <c r="C13" s="31" t="n">
        <f aca="false">B13/$B$4</f>
        <v>3.33333333333333E-005</v>
      </c>
      <c r="D13" s="31" t="s">
        <v>46</v>
      </c>
      <c r="E13" s="32" t="n">
        <f aca="false">Processes!H10</f>
        <v>49.87819620237</v>
      </c>
      <c r="F13" s="31" t="n">
        <f aca="false">E13*$C13</f>
        <v>0.001662606540079</v>
      </c>
      <c r="G13" s="40" t="n">
        <f aca="false">F13/F$47</f>
        <v>0.000417654203835309</v>
      </c>
      <c r="H13" s="34" t="n">
        <f aca="false">Processes!G10</f>
        <v>1.2878908</v>
      </c>
      <c r="I13" s="31" t="n">
        <f aca="false">H13*$C13</f>
        <v>4.29296933333333E-005</v>
      </c>
      <c r="J13" s="40" t="n">
        <f aca="false">I13/I$47</f>
        <v>0.000161740655035542</v>
      </c>
      <c r="K13" s="35" t="n">
        <f aca="false">I13/F13*$B$2</f>
        <v>25.8207172283188</v>
      </c>
      <c r="L13" s="34" t="n">
        <f aca="false">Processes!J10</f>
        <v>1.5171342</v>
      </c>
      <c r="M13" s="31" t="n">
        <f aca="false">L13*$C13</f>
        <v>5.057114E-005</v>
      </c>
      <c r="N13" s="40" t="n">
        <f aca="false">M13/M$47</f>
        <v>0.000185232315119187</v>
      </c>
      <c r="P13" s="25" t="s">
        <v>59</v>
      </c>
      <c r="Q13" s="44"/>
      <c r="R13" s="44"/>
      <c r="S13" s="44"/>
      <c r="T13" s="44"/>
      <c r="U13" s="44" t="n">
        <f aca="false">F77</f>
        <v>2.6881507061032</v>
      </c>
      <c r="V13" s="3"/>
      <c r="W13" s="25" t="s">
        <v>59</v>
      </c>
      <c r="X13" s="25"/>
      <c r="Y13" s="37"/>
      <c r="Z13" s="44"/>
      <c r="AA13" s="37"/>
      <c r="AB13" s="37" t="n">
        <f aca="false">I77</f>
        <v>0.257858328</v>
      </c>
      <c r="AD13" s="25" t="s">
        <v>59</v>
      </c>
      <c r="AE13" s="25"/>
      <c r="AF13" s="25"/>
      <c r="AG13" s="37"/>
      <c r="AH13" s="37"/>
      <c r="AI13" s="44"/>
      <c r="AJ13" s="44"/>
      <c r="AK13" s="37"/>
      <c r="AL13" s="44"/>
      <c r="AM13" s="37" t="n">
        <f aca="false">M77</f>
        <v>0.262335658</v>
      </c>
      <c r="AN13" s="3"/>
      <c r="AP13" s="25" t="n">
        <v>20000</v>
      </c>
      <c r="AQ13" s="38" t="n">
        <f aca="false">AQ$6+AE$9*$AP13</f>
        <v>10612.0278931544</v>
      </c>
      <c r="AR13" s="38" t="n">
        <f aca="false">AR$6+AG$10*$AP13</f>
        <v>11526.3570146531</v>
      </c>
      <c r="AS13" s="38" t="n">
        <f aca="false">AS$6+AI$11*$AP13</f>
        <v>9373.5172606531</v>
      </c>
      <c r="AT13" s="38" t="n">
        <f aca="false">AT$6+AK$12*$AP13</f>
        <v>9704.3874990531</v>
      </c>
      <c r="AU13" s="38" t="n">
        <f aca="false">AU$6+AM$13*$AP13</f>
        <v>14544.9262826531</v>
      </c>
      <c r="AV13" s="38"/>
      <c r="AW13" s="25" t="n">
        <f aca="false">AP13</f>
        <v>20000</v>
      </c>
      <c r="AX13" s="38" t="n">
        <f aca="false">AQ13/$AW13</f>
        <v>0.530601394657721</v>
      </c>
      <c r="AY13" s="38" t="n">
        <f aca="false">AR13/$AW13</f>
        <v>0.576317850732655</v>
      </c>
      <c r="AZ13" s="38" t="n">
        <f aca="false">AS13/$AW13</f>
        <v>0.468675863032655</v>
      </c>
      <c r="BA13" s="38" t="n">
        <f aca="false">AT13/$AW13</f>
        <v>0.485219374952655</v>
      </c>
      <c r="BB13" s="38" t="n">
        <f aca="false">AU13/$AW13</f>
        <v>0.727246314132655</v>
      </c>
    </row>
    <row r="14" customFormat="false" ht="20.25" hidden="false" customHeight="false" outlineLevel="0" collapsed="false">
      <c r="A14" s="30" t="s">
        <v>60</v>
      </c>
      <c r="B14" s="2" t="n">
        <v>31.6</v>
      </c>
      <c r="C14" s="31" t="n">
        <f aca="false">B14/$B$4</f>
        <v>0.000210666666666667</v>
      </c>
      <c r="D14" s="31" t="s">
        <v>46</v>
      </c>
      <c r="E14" s="32" t="n">
        <f aca="false">Processes!H11</f>
        <v>11.4369008899</v>
      </c>
      <c r="F14" s="31" t="n">
        <f aca="false">E14*$C14</f>
        <v>0.00240937378747227</v>
      </c>
      <c r="G14" s="40" t="n">
        <f aca="false">F14/F$47</f>
        <v>0.00060524547852469</v>
      </c>
      <c r="H14" s="34" t="n">
        <f aca="false">Processes!G11</f>
        <v>0.95946892</v>
      </c>
      <c r="I14" s="31" t="n">
        <f aca="false">H14*$C14</f>
        <v>0.000202128119146667</v>
      </c>
      <c r="J14" s="40" t="n">
        <f aca="false">I14/I$47</f>
        <v>0.000761531980627952</v>
      </c>
      <c r="K14" s="35" t="n">
        <f aca="false">I14/F14*$B$2</f>
        <v>83.8923873903037</v>
      </c>
      <c r="L14" s="34" t="n">
        <f aca="false">Processes!J11</f>
        <v>1.0141071</v>
      </c>
      <c r="M14" s="31" t="n">
        <f aca="false">L14*$C14</f>
        <v>0.0002136385624</v>
      </c>
      <c r="N14" s="40" t="n">
        <f aca="false">M14/M$47</f>
        <v>0.000782516777594629</v>
      </c>
      <c r="P14" s="46" t="s">
        <v>61</v>
      </c>
      <c r="Q14" s="47" t="n">
        <f aca="false">SUM(Q6:Q9)</f>
        <v>3.98082079579547</v>
      </c>
      <c r="R14" s="47" t="n">
        <f aca="false">SUM(R6:R10)</f>
        <v>2.93598371744038</v>
      </c>
      <c r="S14" s="47" t="n">
        <f aca="false">SUM(S6:S8, S11)</f>
        <v>0.628932025860683</v>
      </c>
      <c r="T14" s="47" t="n">
        <f aca="false">SUM(T6:T8,T12)</f>
        <v>0.845021399010983</v>
      </c>
      <c r="U14" s="47" t="n">
        <f aca="false">SUM(U6:U8,U13)</f>
        <v>3.26636653096998</v>
      </c>
      <c r="V14" s="42"/>
      <c r="W14" s="46" t="s">
        <v>61</v>
      </c>
      <c r="X14" s="48" t="n">
        <f aca="false">SUM(X6:X12)</f>
        <v>0.265423021341788</v>
      </c>
      <c r="Y14" s="48" t="n">
        <f aca="false">SUM(Y6:Y12)</f>
        <v>0.14064062939836</v>
      </c>
      <c r="Z14" s="48" t="n">
        <f aca="false">SUM(Z6:Z12)</f>
        <v>0.0399394521983604</v>
      </c>
      <c r="AA14" s="48" t="n">
        <f aca="false">SUM(AA6:AA12)</f>
        <v>0.0543758216783604</v>
      </c>
      <c r="AB14" s="48" t="n">
        <f aca="false">SUM(AB6:AB13)</f>
        <v>0.29446371179836</v>
      </c>
      <c r="AD14" s="46" t="s">
        <v>61</v>
      </c>
      <c r="AE14" s="48" t="n">
        <f aca="false">SUM(AE6:AE9)</f>
        <v>0.273014673316911</v>
      </c>
      <c r="AF14" s="48"/>
      <c r="AG14" s="48" t="n">
        <f aca="false">SUM(AG6:AG10)</f>
        <v>0.152872028450272</v>
      </c>
      <c r="AH14" s="48"/>
      <c r="AI14" s="48" t="n">
        <f aca="false">SUM(AI6:AI8, AI11)</f>
        <v>0.045230040750272</v>
      </c>
      <c r="AJ14" s="48"/>
      <c r="AK14" s="48" t="n">
        <f aca="false">SUM(AK6:AK8, AK12)</f>
        <v>0.061773552670272</v>
      </c>
      <c r="AL14" s="48"/>
      <c r="AM14" s="48" t="n">
        <f aca="false">SUM(AM6:AM8, AM13)</f>
        <v>0.303800491850272</v>
      </c>
      <c r="AP14" s="25" t="n">
        <v>30000</v>
      </c>
      <c r="AQ14" s="38" t="n">
        <f aca="false">AQ$6+AE$9*$AP14</f>
        <v>12933.0388450592</v>
      </c>
      <c r="AR14" s="38" t="n">
        <f aca="false">AR$6+AG$10*$AP14</f>
        <v>12640.4289606531</v>
      </c>
      <c r="AS14" s="38" t="n">
        <f aca="false">AS$6+AI$11*$AP14</f>
        <v>9411.1693296531</v>
      </c>
      <c r="AT14" s="38" t="n">
        <f aca="false">AT$6+AK$12*$AP14</f>
        <v>9907.4746872531</v>
      </c>
      <c r="AU14" s="38" t="n">
        <f aca="false">AU$6+AM$13*$AP14</f>
        <v>17168.2828626531</v>
      </c>
      <c r="AV14" s="38"/>
      <c r="AW14" s="25" t="n">
        <f aca="false">AP14</f>
        <v>30000</v>
      </c>
      <c r="AX14" s="38" t="n">
        <f aca="false">AQ14/$AW14</f>
        <v>0.431101294835306</v>
      </c>
      <c r="AY14" s="38" t="n">
        <f aca="false">AR14/$AW14</f>
        <v>0.42134763202177</v>
      </c>
      <c r="AZ14" s="38" t="n">
        <f aca="false">AS14/$AW14</f>
        <v>0.31370564432177</v>
      </c>
      <c r="BA14" s="38" t="n">
        <f aca="false">AT14/$AW14</f>
        <v>0.33024915624177</v>
      </c>
      <c r="BB14" s="38" t="n">
        <f aca="false">AU14/$AW14</f>
        <v>0.57227609542177</v>
      </c>
    </row>
    <row r="15" customFormat="false" ht="20.25" hidden="false" customHeight="false" outlineLevel="0" collapsed="false">
      <c r="A15" s="30" t="s">
        <v>62</v>
      </c>
      <c r="B15" s="2" t="n">
        <v>2331</v>
      </c>
      <c r="C15" s="31" t="n">
        <f aca="false">B15/$B$4</f>
        <v>0.01554</v>
      </c>
      <c r="D15" s="31" t="s">
        <v>63</v>
      </c>
      <c r="E15" s="32" t="n">
        <f aca="false">Processes!H12</f>
        <v>0.6663429688901</v>
      </c>
      <c r="F15" s="31" t="n">
        <f aca="false">E15*$C15</f>
        <v>0.0103549697365522</v>
      </c>
      <c r="G15" s="40" t="n">
        <f aca="false">F15/F$47</f>
        <v>0.00260121474131391</v>
      </c>
      <c r="H15" s="34" t="n">
        <f aca="false">Processes!G12</f>
        <v>0.033782061</v>
      </c>
      <c r="I15" s="31" t="n">
        <f aca="false">H15*$C15</f>
        <v>0.00052497322794</v>
      </c>
      <c r="J15" s="40" t="n">
        <f aca="false">I15/I$47</f>
        <v>0.00197787375520825</v>
      </c>
      <c r="K15" s="35" t="n">
        <f aca="false">I15/F15*$B$2</f>
        <v>50.6977076028421</v>
      </c>
      <c r="L15" s="34" t="n">
        <f aca="false">Processes!J12</f>
        <v>0.037879735</v>
      </c>
      <c r="M15" s="31" t="n">
        <f aca="false">L15*$C15</f>
        <v>0.0005886510819</v>
      </c>
      <c r="N15" s="40" t="n">
        <f aca="false">M15/M$47</f>
        <v>0.00215611518146024</v>
      </c>
      <c r="AD15" s="46" t="s">
        <v>64</v>
      </c>
      <c r="AE15" s="48"/>
      <c r="AF15" s="48" t="n">
        <v>0.273011</v>
      </c>
      <c r="AG15" s="48"/>
      <c r="AH15" s="48" t="n">
        <v>0.14781</v>
      </c>
      <c r="AI15" s="48"/>
      <c r="AJ15" s="48" t="n">
        <v>0.031087</v>
      </c>
      <c r="AK15" s="48"/>
      <c r="AL15" s="48" t="n">
        <v>0.0395282</v>
      </c>
      <c r="AM15" s="48"/>
      <c r="AP15" s="25" t="n">
        <v>40000</v>
      </c>
      <c r="AQ15" s="38" t="n">
        <f aca="false">AQ$6+AE$9*$AP15</f>
        <v>15254.0497969639</v>
      </c>
      <c r="AR15" s="38" t="n">
        <f aca="false">AR$6+AG$10*$AP15</f>
        <v>13754.5009066531</v>
      </c>
      <c r="AS15" s="38" t="n">
        <f aca="false">AS$6+AI$11*$AP15</f>
        <v>9448.8213986531</v>
      </c>
      <c r="AT15" s="38" t="n">
        <f aca="false">AT$6+AK$12*$AP15</f>
        <v>10110.5618754531</v>
      </c>
      <c r="AU15" s="38" t="n">
        <f aca="false">AU$6+AM$13*$AP15</f>
        <v>19791.6394426531</v>
      </c>
      <c r="AV15" s="38"/>
      <c r="AW15" s="25" t="n">
        <f aca="false">AP15</f>
        <v>40000</v>
      </c>
      <c r="AX15" s="38" t="n">
        <f aca="false">AQ15/$AW15</f>
        <v>0.381351244924098</v>
      </c>
      <c r="AY15" s="38" t="n">
        <f aca="false">AR15/$AW15</f>
        <v>0.343862522666328</v>
      </c>
      <c r="AZ15" s="38" t="n">
        <f aca="false">AS15/$AW15</f>
        <v>0.236220534966328</v>
      </c>
      <c r="BA15" s="38" t="n">
        <f aca="false">AT15/$AW15</f>
        <v>0.252764046886328</v>
      </c>
      <c r="BB15" s="38" t="n">
        <f aca="false">AU15/$AW15</f>
        <v>0.494790986066327</v>
      </c>
    </row>
    <row r="16" customFormat="false" ht="20.25" hidden="false" customHeight="false" outlineLevel="0" collapsed="false">
      <c r="A16" s="30" t="s">
        <v>65</v>
      </c>
      <c r="B16" s="2" t="n">
        <v>13.7</v>
      </c>
      <c r="C16" s="31" t="n">
        <f aca="false">B16/$B$4</f>
        <v>9.13333333333333E-005</v>
      </c>
      <c r="D16" s="31" t="s">
        <v>46</v>
      </c>
      <c r="E16" s="32" t="n">
        <f aca="false">Processes!H13</f>
        <v>16.6653603238</v>
      </c>
      <c r="F16" s="31" t="n">
        <f aca="false">E16*$C16</f>
        <v>0.00152210290957373</v>
      </c>
      <c r="G16" s="40" t="n">
        <f aca="false">F16/F$47</f>
        <v>0.000382359063030763</v>
      </c>
      <c r="H16" s="34" t="n">
        <f aca="false">Processes!G13</f>
        <v>1.2213615</v>
      </c>
      <c r="I16" s="31" t="n">
        <f aca="false">H16*$C16</f>
        <v>0.000111551017</v>
      </c>
      <c r="J16" s="40" t="n">
        <f aca="false">I16/I$47</f>
        <v>0.000420276343913495</v>
      </c>
      <c r="K16" s="35" t="n">
        <f aca="false">I16/F16*$B$2</f>
        <v>73.2874343110217</v>
      </c>
      <c r="L16" s="34" t="n">
        <f aca="false">Processes!J13</f>
        <v>1.3573807</v>
      </c>
      <c r="M16" s="31" t="n">
        <f aca="false">L16*$C16</f>
        <v>0.000123974103933333</v>
      </c>
      <c r="N16" s="40" t="n">
        <f aca="false">M16/M$47</f>
        <v>0.000454093190036808</v>
      </c>
      <c r="AD16" s="1" t="s">
        <v>66</v>
      </c>
      <c r="AE16" s="1" t="n">
        <f aca="false">0.000000223314/0.000000083</f>
        <v>2.69053012048193</v>
      </c>
      <c r="AG16" s="1" t="n">
        <f aca="false">0.000000120897/0.000000083</f>
        <v>1.45659036144578</v>
      </c>
      <c r="AP16" s="25" t="n">
        <v>50000</v>
      </c>
      <c r="AQ16" s="38" t="n">
        <f aca="false">AQ$6+AE$9*$AP16</f>
        <v>17575.0607488687</v>
      </c>
      <c r="AR16" s="38" t="n">
        <f aca="false">AR$6+AG$10*$AP16</f>
        <v>14868.5728526531</v>
      </c>
      <c r="AS16" s="38" t="n">
        <f aca="false">AS$6+AI$11*$AP16</f>
        <v>9486.4734676531</v>
      </c>
      <c r="AT16" s="38" t="n">
        <f aca="false">AT$6+AK$12*$AP16</f>
        <v>10313.6490636531</v>
      </c>
      <c r="AU16" s="38" t="n">
        <f aca="false">AU$6+AM$13*$AP16</f>
        <v>22414.9960226531</v>
      </c>
      <c r="AV16" s="38"/>
      <c r="AW16" s="25" t="n">
        <f aca="false">AP16</f>
        <v>50000</v>
      </c>
      <c r="AX16" s="38" t="n">
        <f aca="false">AQ16/$AW16</f>
        <v>0.351501214977374</v>
      </c>
      <c r="AY16" s="38" t="n">
        <f aca="false">AR16/$AW16</f>
        <v>0.297371457053062</v>
      </c>
      <c r="AZ16" s="38" t="n">
        <f aca="false">AS16/$AW16</f>
        <v>0.189729469353062</v>
      </c>
      <c r="BA16" s="38" t="n">
        <f aca="false">AT16/$AW16</f>
        <v>0.206272981273062</v>
      </c>
      <c r="BB16" s="38" t="n">
        <f aca="false">AU16/$AW16</f>
        <v>0.448299920453062</v>
      </c>
    </row>
    <row r="17" customFormat="false" ht="20.25" hidden="false" customHeight="false" outlineLevel="0" collapsed="false">
      <c r="A17" s="30" t="s">
        <v>67</v>
      </c>
      <c r="B17" s="2" t="n">
        <v>66.2</v>
      </c>
      <c r="C17" s="31" t="n">
        <f aca="false">B17/$B$4</f>
        <v>0.000441333333333333</v>
      </c>
      <c r="D17" s="31" t="s">
        <v>63</v>
      </c>
      <c r="E17" s="32" t="n">
        <f aca="false">Processes!H14</f>
        <v>1.28</v>
      </c>
      <c r="F17" s="31" t="n">
        <f aca="false">E17*$C17</f>
        <v>0.000564906666666667</v>
      </c>
      <c r="G17" s="40" t="n">
        <f aca="false">F17/F$47</f>
        <v>0.000141907082896904</v>
      </c>
      <c r="H17" s="34" t="n">
        <f aca="false">Processes!G14</f>
        <v>0.085</v>
      </c>
      <c r="I17" s="31" t="n">
        <f aca="false">H17*$C17</f>
        <v>3.75133333333333E-005</v>
      </c>
      <c r="J17" s="40" t="n">
        <f aca="false">I17/I$47</f>
        <v>0.00014133413576446</v>
      </c>
      <c r="K17" s="35" t="n">
        <f aca="false">I17/F17*$B$2</f>
        <v>66.40625</v>
      </c>
      <c r="L17" s="34" t="n">
        <f aca="false">Processes!J14</f>
        <v>0.08659</v>
      </c>
      <c r="M17" s="31" t="n">
        <f aca="false">L17*$C17</f>
        <v>3.82150533333333E-005</v>
      </c>
      <c r="N17" s="40" t="n">
        <f aca="false">M17/M$47</f>
        <v>0.000139974356942251</v>
      </c>
      <c r="U17" s="1" t="n">
        <f aca="false">0.024/0.065/55*100</f>
        <v>0.671328671328671</v>
      </c>
      <c r="AP17" s="25" t="n">
        <v>60000</v>
      </c>
      <c r="AQ17" s="38" t="n">
        <f aca="false">AQ$6+AE$9*$AP17</f>
        <v>19896.0717007735</v>
      </c>
      <c r="AR17" s="38" t="n">
        <f aca="false">AR$6+AG$10*$AP17</f>
        <v>15982.6447986531</v>
      </c>
      <c r="AS17" s="38" t="n">
        <f aca="false">AS$6+AI$11*$AP17</f>
        <v>9524.1255366531</v>
      </c>
      <c r="AT17" s="38" t="n">
        <f aca="false">AT$6+AK$12*$AP17</f>
        <v>10516.7362518531</v>
      </c>
      <c r="AU17" s="38" t="n">
        <f aca="false">AU$6+AM$13*$AP17</f>
        <v>25038.3526026531</v>
      </c>
      <c r="AV17" s="38"/>
      <c r="AW17" s="25" t="n">
        <f aca="false">AP17</f>
        <v>60000</v>
      </c>
      <c r="AX17" s="38" t="n">
        <f aca="false">AQ17/$AW17</f>
        <v>0.331601195012891</v>
      </c>
      <c r="AY17" s="38" t="n">
        <f aca="false">AR17/$AW17</f>
        <v>0.266377413310885</v>
      </c>
      <c r="AZ17" s="38" t="n">
        <f aca="false">AS17/$AW17</f>
        <v>0.158735425610885</v>
      </c>
      <c r="BA17" s="38" t="n">
        <f aca="false">AT17/$AW17</f>
        <v>0.175278937530885</v>
      </c>
      <c r="BB17" s="38" t="n">
        <f aca="false">AU17/$AW17</f>
        <v>0.417305876710885</v>
      </c>
    </row>
    <row r="18" customFormat="false" ht="20.25" hidden="false" customHeight="false" outlineLevel="0" collapsed="false">
      <c r="A18" s="30" t="s">
        <v>68</v>
      </c>
      <c r="B18" s="2" t="n">
        <v>1.5</v>
      </c>
      <c r="C18" s="31" t="n">
        <f aca="false">B18/$B$4</f>
        <v>1E-005</v>
      </c>
      <c r="D18" s="31" t="s">
        <v>46</v>
      </c>
      <c r="E18" s="32" t="n">
        <f aca="false">Processes!H15</f>
        <v>275.141058862</v>
      </c>
      <c r="F18" s="31" t="n">
        <f aca="false">E18*$C18</f>
        <v>0.00275141058862</v>
      </c>
      <c r="G18" s="40" t="n">
        <f aca="false">F18/F$47</f>
        <v>0.000691166653752922</v>
      </c>
      <c r="H18" s="34" t="n">
        <f aca="false">Processes!G15</f>
        <v>14.802611</v>
      </c>
      <c r="I18" s="31" t="n">
        <f aca="false">H18*$C18</f>
        <v>0.00014802611</v>
      </c>
      <c r="J18" s="40" t="n">
        <f aca="false">I18/I$47</f>
        <v>0.00055769883581193</v>
      </c>
      <c r="K18" s="35" t="n">
        <f aca="false">I18/F18*$B$2</f>
        <v>53.8000800797398</v>
      </c>
      <c r="L18" s="34" t="n">
        <f aca="false">Processes!J15</f>
        <v>18.711015</v>
      </c>
      <c r="M18" s="31" t="n">
        <f aca="false">L18*$C18</f>
        <v>0.00018711015</v>
      </c>
      <c r="N18" s="40" t="n">
        <f aca="false">M18/M$47</f>
        <v>0.000685348328449751</v>
      </c>
      <c r="AP18" s="25" t="n">
        <v>70000</v>
      </c>
      <c r="AQ18" s="38" t="n">
        <f aca="false">AQ$6+AE$9*$AP18</f>
        <v>22217.0826526782</v>
      </c>
      <c r="AR18" s="38" t="n">
        <f aca="false">AR$6+AG$10*$AP18</f>
        <v>17096.7167446531</v>
      </c>
      <c r="AS18" s="38" t="n">
        <f aca="false">AS$6+AI$11*$AP18</f>
        <v>9561.7776056531</v>
      </c>
      <c r="AT18" s="38" t="n">
        <f aca="false">AT$6+AK$12*$AP18</f>
        <v>10719.8234400531</v>
      </c>
      <c r="AU18" s="38" t="n">
        <f aca="false">AU$6+AM$13*$AP18</f>
        <v>27661.7091826531</v>
      </c>
      <c r="AV18" s="38"/>
      <c r="AW18" s="25" t="n">
        <f aca="false">AP18</f>
        <v>70000</v>
      </c>
      <c r="AX18" s="38" t="n">
        <f aca="false">AQ18/$AW18</f>
        <v>0.31738689503826</v>
      </c>
      <c r="AY18" s="38" t="n">
        <f aca="false">AR18/$AW18</f>
        <v>0.244238810637901</v>
      </c>
      <c r="AZ18" s="38" t="n">
        <f aca="false">AS18/$AW18</f>
        <v>0.136596822937901</v>
      </c>
      <c r="BA18" s="38" t="n">
        <f aca="false">AT18/$AW18</f>
        <v>0.153140334857901</v>
      </c>
      <c r="BB18" s="38" t="n">
        <f aca="false">AU18/$AW18</f>
        <v>0.395167274037901</v>
      </c>
    </row>
    <row r="19" customFormat="false" ht="20.25" hidden="false" customHeight="false" outlineLevel="0" collapsed="false">
      <c r="A19" s="30" t="s">
        <v>69</v>
      </c>
      <c r="B19" s="2" t="n">
        <v>107.1</v>
      </c>
      <c r="C19" s="31" t="n">
        <f aca="false">B19/$B$4</f>
        <v>0.000714</v>
      </c>
      <c r="D19" s="31" t="s">
        <v>46</v>
      </c>
      <c r="E19" s="32" t="n">
        <f aca="false">Processes!H16</f>
        <v>79.3577038129</v>
      </c>
      <c r="F19" s="31" t="n">
        <f aca="false">E19*$C19</f>
        <v>0.0566614005224106</v>
      </c>
      <c r="G19" s="40" t="n">
        <f aca="false">F19/F$47</f>
        <v>0.0142335973983697</v>
      </c>
      <c r="H19" s="34" t="n">
        <f aca="false">Processes!G16</f>
        <v>1.9192517</v>
      </c>
      <c r="I19" s="31" t="n">
        <f aca="false">H19*$C19</f>
        <v>0.0013703457138</v>
      </c>
      <c r="J19" s="40" t="n">
        <f aca="false">I19/I$47</f>
        <v>0.0051628743688943</v>
      </c>
      <c r="K19" s="35" t="n">
        <f aca="false">I19/F19*$B$2</f>
        <v>24.184818962567</v>
      </c>
      <c r="L19" s="34" t="n">
        <f aca="false">Processes!J16</f>
        <v>2.315399</v>
      </c>
      <c r="M19" s="31" t="n">
        <f aca="false">L19*$C19</f>
        <v>0.001653194886</v>
      </c>
      <c r="N19" s="40" t="n">
        <f aca="false">M19/M$47</f>
        <v>0.00605533345850974</v>
      </c>
      <c r="AP19" s="25" t="n">
        <v>80000</v>
      </c>
      <c r="AQ19" s="38" t="n">
        <f aca="false">AQ$6+AE$9*$AP19</f>
        <v>24538.093604583</v>
      </c>
      <c r="AR19" s="38" t="n">
        <f aca="false">AR$6+AG$10*$AP19</f>
        <v>18210.7886906531</v>
      </c>
      <c r="AS19" s="38" t="n">
        <f aca="false">AS$6+AI$11*$AP19</f>
        <v>9599.4296746531</v>
      </c>
      <c r="AT19" s="38" t="n">
        <f aca="false">AT$6+AK$12*$AP19</f>
        <v>10922.9106282531</v>
      </c>
      <c r="AU19" s="38" t="n">
        <f aca="false">AU$6+AM$13*$AP19</f>
        <v>30285.0657626531</v>
      </c>
      <c r="AV19" s="38"/>
      <c r="AW19" s="25" t="n">
        <f aca="false">AP19</f>
        <v>80000</v>
      </c>
      <c r="AX19" s="38" t="n">
        <f aca="false">AQ19/$AW19</f>
        <v>0.306726170057287</v>
      </c>
      <c r="AY19" s="38" t="n">
        <f aca="false">AR19/$AW19</f>
        <v>0.227634858633164</v>
      </c>
      <c r="AZ19" s="38" t="n">
        <f aca="false">AS19/$AW19</f>
        <v>0.119992870933164</v>
      </c>
      <c r="BA19" s="38" t="n">
        <f aca="false">AT19/$AW19</f>
        <v>0.136536382853164</v>
      </c>
      <c r="BB19" s="38" t="n">
        <f aca="false">AU19/$AW19</f>
        <v>0.378563322033164</v>
      </c>
    </row>
    <row r="20" customFormat="false" ht="20.25" hidden="false" customHeight="false" outlineLevel="0" collapsed="false">
      <c r="A20" s="30" t="s">
        <v>70</v>
      </c>
      <c r="B20" s="2" t="n">
        <v>51.4</v>
      </c>
      <c r="C20" s="31" t="n">
        <f aca="false">B20/$B$4</f>
        <v>0.000342666666666667</v>
      </c>
      <c r="D20" s="31" t="s">
        <v>46</v>
      </c>
      <c r="E20" s="32" t="n">
        <f aca="false">Processes!H17</f>
        <v>77.07094285771</v>
      </c>
      <c r="F20" s="31" t="n">
        <f aca="false">E20*$C20</f>
        <v>0.0264096430859086</v>
      </c>
      <c r="G20" s="40" t="n">
        <f aca="false">F20/F$47</f>
        <v>0.00663422053909143</v>
      </c>
      <c r="H20" s="34" t="n">
        <f aca="false">Processes!G17</f>
        <v>1.5167522</v>
      </c>
      <c r="I20" s="31" t="n">
        <f aca="false">H20*$C20</f>
        <v>0.000519740420533333</v>
      </c>
      <c r="J20" s="40" t="n">
        <f aca="false">I20/I$47</f>
        <v>0.00195815878331088</v>
      </c>
      <c r="K20" s="35" t="n">
        <f aca="false">I20/F20*$B$2</f>
        <v>19.6799486779377</v>
      </c>
      <c r="L20" s="34" t="n">
        <f aca="false">Processes!J17</f>
        <v>1.9003221</v>
      </c>
      <c r="M20" s="31" t="n">
        <f aca="false">L20*$C20</f>
        <v>0.0006511770396</v>
      </c>
      <c r="N20" s="40" t="n">
        <f aca="false">M20/M$47</f>
        <v>0.00238513568405945</v>
      </c>
      <c r="AP20" s="25" t="n">
        <v>90000</v>
      </c>
      <c r="AQ20" s="38" t="n">
        <f aca="false">AQ$6+AE$9*$AP20</f>
        <v>26859.1045564877</v>
      </c>
      <c r="AR20" s="38" t="n">
        <f aca="false">AR$6+AG$10*$AP20</f>
        <v>19324.8606366531</v>
      </c>
      <c r="AS20" s="38" t="n">
        <f aca="false">AS$6+AI$11*$AP20</f>
        <v>9637.0817436531</v>
      </c>
      <c r="AT20" s="38" t="n">
        <f aca="false">AT$6+AK$12*$AP20</f>
        <v>11125.9978164531</v>
      </c>
      <c r="AU20" s="38" t="n">
        <f aca="false">AU$6+AM$13*$AP20</f>
        <v>32908.4223426531</v>
      </c>
      <c r="AV20" s="38"/>
      <c r="AW20" s="25" t="n">
        <f aca="false">AP20</f>
        <v>90000</v>
      </c>
      <c r="AX20" s="38" t="n">
        <f aca="false">AQ20/$AW20</f>
        <v>0.298434495072086</v>
      </c>
      <c r="AY20" s="38" t="n">
        <f aca="false">AR20/$AW20</f>
        <v>0.21472067374059</v>
      </c>
      <c r="AZ20" s="38" t="n">
        <f aca="false">AS20/$AW20</f>
        <v>0.10707868604059</v>
      </c>
      <c r="BA20" s="38" t="n">
        <f aca="false">AT20/$AW20</f>
        <v>0.12362219796059</v>
      </c>
      <c r="BB20" s="38" t="n">
        <f aca="false">AU20/$AW20</f>
        <v>0.36564913714059</v>
      </c>
    </row>
    <row r="21" customFormat="false" ht="20.25" hidden="false" customHeight="false" outlineLevel="0" collapsed="false">
      <c r="A21" s="30" t="s">
        <v>71</v>
      </c>
      <c r="B21" s="2" t="n">
        <v>16.8</v>
      </c>
      <c r="C21" s="31" t="n">
        <f aca="false">B21/$B$4</f>
        <v>0.000112</v>
      </c>
      <c r="D21" s="31" t="s">
        <v>46</v>
      </c>
      <c r="E21" s="32" t="n">
        <f aca="false">Processes!H18</f>
        <v>57.3516666618</v>
      </c>
      <c r="F21" s="31" t="n">
        <f aca="false">E21*$C21</f>
        <v>0.0064233866661216</v>
      </c>
      <c r="G21" s="40" t="n">
        <f aca="false">F21/F$47</f>
        <v>0.00161358347828819</v>
      </c>
      <c r="H21" s="34" t="n">
        <f aca="false">Processes!G18</f>
        <v>2.1136888</v>
      </c>
      <c r="I21" s="31" t="n">
        <f aca="false">H21*$C21</f>
        <v>0.0002367331456</v>
      </c>
      <c r="J21" s="40" t="n">
        <f aca="false">I21/I$47</f>
        <v>0.000891908864586228</v>
      </c>
      <c r="K21" s="35" t="n">
        <f aca="false">I21/F21*$B$2</f>
        <v>36.8548801286686</v>
      </c>
      <c r="L21" s="34" t="n">
        <f aca="false">Processes!J18</f>
        <v>2.4231058</v>
      </c>
      <c r="M21" s="31" t="n">
        <f aca="false">L21*$C21</f>
        <v>0.0002713878496</v>
      </c>
      <c r="N21" s="40" t="n">
        <f aca="false">M21/M$47</f>
        <v>0.000994041259038766</v>
      </c>
      <c r="AP21" s="25" t="n">
        <v>100000</v>
      </c>
      <c r="AQ21" s="38" t="n">
        <f aca="false">AQ$6+AE$9*$AP21</f>
        <v>29180.1155083925</v>
      </c>
      <c r="AR21" s="38" t="n">
        <f aca="false">AR$6+AG$10*$AP21</f>
        <v>20438.9325826531</v>
      </c>
      <c r="AS21" s="38" t="n">
        <f aca="false">AS$6+AI$11*$AP21</f>
        <v>9674.7338126531</v>
      </c>
      <c r="AT21" s="38" t="n">
        <f aca="false">AT$6+AK$12*$AP21</f>
        <v>11329.0850046531</v>
      </c>
      <c r="AU21" s="38" t="n">
        <f aca="false">AU$6+AM$13*$AP21</f>
        <v>35531.7789226531</v>
      </c>
      <c r="AV21" s="38"/>
      <c r="AW21" s="25" t="n">
        <f aca="false">AP21</f>
        <v>100000</v>
      </c>
      <c r="AX21" s="38" t="n">
        <f aca="false">AQ21/$AW21</f>
        <v>0.291801155083925</v>
      </c>
      <c r="AY21" s="38" t="n">
        <f aca="false">AR21/$AW21</f>
        <v>0.204389325826531</v>
      </c>
      <c r="AZ21" s="38" t="n">
        <f aca="false">AS21/$AW21</f>
        <v>0.096747338126531</v>
      </c>
      <c r="BA21" s="38" t="n">
        <f aca="false">AT21/$AW21</f>
        <v>0.113290850046531</v>
      </c>
      <c r="BB21" s="38" t="n">
        <f aca="false">AU21/$AW21</f>
        <v>0.355317789226531</v>
      </c>
    </row>
    <row r="22" customFormat="false" ht="20.25" hidden="false" customHeight="false" outlineLevel="0" collapsed="false">
      <c r="A22" s="30" t="s">
        <v>72</v>
      </c>
      <c r="B22" s="2" t="n">
        <v>213.2</v>
      </c>
      <c r="C22" s="31" t="n">
        <f aca="false">B22/$B$4</f>
        <v>0.00142133333333333</v>
      </c>
      <c r="D22" s="31" t="s">
        <v>46</v>
      </c>
      <c r="E22" s="32" t="n">
        <f aca="false">Processes!H19</f>
        <v>1.5173103058</v>
      </c>
      <c r="F22" s="31" t="n">
        <f aca="false">E22*$C22</f>
        <v>0.00215660371464373</v>
      </c>
      <c r="G22" s="40" t="n">
        <f aca="false">F22/F$47</f>
        <v>0.000541748504961974</v>
      </c>
      <c r="H22" s="34" t="n">
        <f aca="false">Processes!G19</f>
        <v>0.15973425</v>
      </c>
      <c r="I22" s="31" t="n">
        <f aca="false">H22*$C22</f>
        <v>0.000227035614</v>
      </c>
      <c r="J22" s="40" t="n">
        <f aca="false">I22/I$47</f>
        <v>0.0008553727286061</v>
      </c>
      <c r="K22" s="35" t="n">
        <f aca="false">I22/F22*$B$2</f>
        <v>105.27460954388</v>
      </c>
      <c r="L22" s="34" t="n">
        <f aca="false">Processes!J19</f>
        <v>0.17059246</v>
      </c>
      <c r="M22" s="31" t="n">
        <f aca="false">L22*$C22</f>
        <v>0.000242468749813333</v>
      </c>
      <c r="N22" s="40" t="n">
        <f aca="false">M22/M$47</f>
        <v>0.000888116183894186</v>
      </c>
      <c r="AP22" s="25" t="n">
        <v>110000</v>
      </c>
      <c r="AQ22" s="38" t="n">
        <f aca="false">AQ$6+AE$9*$AP22</f>
        <v>31501.1264602973</v>
      </c>
      <c r="AR22" s="38" t="n">
        <f aca="false">AR$6+AG$10*$AP22</f>
        <v>21553.0045286531</v>
      </c>
      <c r="AS22" s="38" t="n">
        <f aca="false">AS$6+AI$11*$AP22</f>
        <v>9712.3858816531</v>
      </c>
      <c r="AT22" s="38" t="n">
        <f aca="false">AT$6+AK$12*$AP22</f>
        <v>11532.1721928531</v>
      </c>
      <c r="AU22" s="38" t="n">
        <f aca="false">AU$6+AM$13*$AP22</f>
        <v>38155.1355026531</v>
      </c>
      <c r="AV22" s="38"/>
      <c r="AW22" s="25" t="n">
        <f aca="false">AP22</f>
        <v>110000</v>
      </c>
      <c r="AX22" s="38" t="n">
        <f aca="false">AQ22/$AW22</f>
        <v>0.286373876911793</v>
      </c>
      <c r="AY22" s="38" t="n">
        <f aca="false">AR22/$AW22</f>
        <v>0.195936404805937</v>
      </c>
      <c r="AZ22" s="38" t="n">
        <f aca="false">AS22/$AW22</f>
        <v>0.0882944171059373</v>
      </c>
      <c r="BA22" s="38" t="n">
        <f aca="false">AT22/$AW22</f>
        <v>0.104837929025937</v>
      </c>
      <c r="BB22" s="38" t="n">
        <f aca="false">AU22/$AW22</f>
        <v>0.346864868205937</v>
      </c>
    </row>
    <row r="23" customFormat="false" ht="20.25" hidden="false" customHeight="false" outlineLevel="0" collapsed="false">
      <c r="A23" s="30" t="s">
        <v>73</v>
      </c>
      <c r="B23" s="2" t="n">
        <v>568.1</v>
      </c>
      <c r="C23" s="31" t="n">
        <f aca="false">B23/$B$4</f>
        <v>0.00378733333333333</v>
      </c>
      <c r="D23" s="31" t="s">
        <v>46</v>
      </c>
      <c r="E23" s="32" t="n">
        <f aca="false">Processes!H20</f>
        <v>4.96375269038</v>
      </c>
      <c r="F23" s="31" t="n">
        <f aca="false">E23*$C23</f>
        <v>0.0187993860226992</v>
      </c>
      <c r="G23" s="40" t="n">
        <f aca="false">F23/F$47</f>
        <v>0.00472248990523639</v>
      </c>
      <c r="H23" s="34" t="n">
        <f aca="false">Processes!G20</f>
        <v>0.2837106</v>
      </c>
      <c r="I23" s="31" t="n">
        <f aca="false">H23*$C23</f>
        <v>0.0010745066124</v>
      </c>
      <c r="J23" s="40" t="n">
        <f aca="false">I23/I$47</f>
        <v>0.00404827963666478</v>
      </c>
      <c r="K23" s="35" t="n">
        <f aca="false">I23/F23*$B$2</f>
        <v>57.1564736796507</v>
      </c>
      <c r="L23" s="34" t="n">
        <f aca="false">Processes!J20</f>
        <v>0.31869152</v>
      </c>
      <c r="M23" s="31" t="n">
        <f aca="false">L23*$C23</f>
        <v>0.00120699101674667</v>
      </c>
      <c r="N23" s="40" t="n">
        <f aca="false">M23/M$47</f>
        <v>0.0044209748951684</v>
      </c>
      <c r="AP23" s="25" t="n">
        <v>120000</v>
      </c>
      <c r="AQ23" s="38" t="n">
        <f aca="false">AQ$6+AE$9*$AP23</f>
        <v>33822.137412202</v>
      </c>
      <c r="AR23" s="38" t="n">
        <f aca="false">AR$6+AG$10*$AP23</f>
        <v>22667.0764746531</v>
      </c>
      <c r="AS23" s="38" t="n">
        <f aca="false">AS$6+AI$11*$AP23</f>
        <v>9750.0379506531</v>
      </c>
      <c r="AT23" s="38" t="n">
        <f aca="false">AT$6+AK$12*$AP23</f>
        <v>11735.2593810531</v>
      </c>
      <c r="AU23" s="38" t="n">
        <f aca="false">AU$6+AM$13*$AP23</f>
        <v>40778.4920826531</v>
      </c>
      <c r="AV23" s="38"/>
      <c r="AW23" s="25" t="n">
        <f aca="false">AP23</f>
        <v>120000</v>
      </c>
      <c r="AX23" s="38" t="n">
        <f aca="false">AQ23/$AW23</f>
        <v>0.281851145101684</v>
      </c>
      <c r="AY23" s="38" t="n">
        <f aca="false">AR23/$AW23</f>
        <v>0.188892303955443</v>
      </c>
      <c r="AZ23" s="38" t="n">
        <f aca="false">AS23/$AW23</f>
        <v>0.0812503162554425</v>
      </c>
      <c r="BA23" s="38" t="n">
        <f aca="false">AT23/$AW23</f>
        <v>0.0977938281754425</v>
      </c>
      <c r="BB23" s="38" t="n">
        <f aca="false">AU23/$AW23</f>
        <v>0.339820767355443</v>
      </c>
    </row>
    <row r="24" customFormat="false" ht="20.25" hidden="false" customHeight="false" outlineLevel="0" collapsed="false">
      <c r="A24" s="30" t="s">
        <v>74</v>
      </c>
      <c r="B24" s="2" t="n">
        <v>1039.5</v>
      </c>
      <c r="C24" s="31" t="n">
        <f aca="false">B24/$B$4</f>
        <v>0.00693</v>
      </c>
      <c r="D24" s="31" t="s">
        <v>46</v>
      </c>
      <c r="E24" s="32" t="n">
        <f aca="false">Processes!H21</f>
        <v>25.22054101</v>
      </c>
      <c r="F24" s="31" t="n">
        <f aca="false">E24*$C24</f>
        <v>0.1747783491993</v>
      </c>
      <c r="G24" s="40" t="n">
        <f aca="false">F24/F$47</f>
        <v>0.0439051035364114</v>
      </c>
      <c r="H24" s="34" t="n">
        <f aca="false">Processes!G21</f>
        <v>1.9191216</v>
      </c>
      <c r="I24" s="31" t="n">
        <f aca="false">H24*$C24</f>
        <v>0.013299512688</v>
      </c>
      <c r="J24" s="40" t="n">
        <f aca="false">I24/I$47</f>
        <v>0.0501068544121276</v>
      </c>
      <c r="K24" s="35" t="n">
        <f aca="false">I24/F24*$B$2</f>
        <v>76.093593679813</v>
      </c>
      <c r="L24" s="34" t="n">
        <f aca="false">Processes!J21</f>
        <v>2.2139538</v>
      </c>
      <c r="M24" s="31" t="n">
        <f aca="false">L24*$C24</f>
        <v>0.015342699834</v>
      </c>
      <c r="N24" s="40" t="n">
        <f aca="false">M24/M$47</f>
        <v>0.0561973451741563</v>
      </c>
      <c r="AP24" s="25" t="n">
        <v>130000</v>
      </c>
      <c r="AQ24" s="38" t="n">
        <f aca="false">AQ$6+AE$9*$AP24</f>
        <v>36143.1483641068</v>
      </c>
      <c r="AR24" s="38" t="n">
        <f aca="false">AR$6+AG$10*$AP24</f>
        <v>23781.1484206531</v>
      </c>
      <c r="AS24" s="38" t="n">
        <f aca="false">AS$6+AI$11*$AP24</f>
        <v>9787.6900196531</v>
      </c>
      <c r="AT24" s="38" t="n">
        <f aca="false">AT$6+AK$12*$AP24</f>
        <v>11938.3465692531</v>
      </c>
      <c r="AU24" s="38" t="n">
        <f aca="false">AU$6+AM$13*$AP24</f>
        <v>43401.8486626531</v>
      </c>
      <c r="AV24" s="38"/>
      <c r="AW24" s="25" t="n">
        <f aca="false">AP24</f>
        <v>130000</v>
      </c>
      <c r="AX24" s="38" t="n">
        <f aca="false">AQ24/$AW24</f>
        <v>0.278024218185437</v>
      </c>
      <c r="AY24" s="38" t="n">
        <f aca="false">AR24/$AW24</f>
        <v>0.182931910928101</v>
      </c>
      <c r="AZ24" s="38" t="n">
        <f aca="false">AS24/$AW24</f>
        <v>0.0752899232281008</v>
      </c>
      <c r="BA24" s="38" t="n">
        <f aca="false">AT24/$AW24</f>
        <v>0.0918334351481008</v>
      </c>
      <c r="BB24" s="38" t="n">
        <f aca="false">AU24/$AW24</f>
        <v>0.333860374328101</v>
      </c>
    </row>
    <row r="25" customFormat="false" ht="20.25" hidden="false" customHeight="false" outlineLevel="0" collapsed="false">
      <c r="A25" s="30" t="s">
        <v>75</v>
      </c>
      <c r="B25" s="31" t="n">
        <v>0.00168</v>
      </c>
      <c r="C25" s="31" t="n">
        <f aca="false">B25/$B$4</f>
        <v>1.12E-008</v>
      </c>
      <c r="D25" s="31" t="s">
        <v>46</v>
      </c>
      <c r="E25" s="49" t="n">
        <f aca="false">Processes!H50</f>
        <v>1095329.169957</v>
      </c>
      <c r="F25" s="31" t="n">
        <f aca="false">E25*$C25</f>
        <v>0.0122676867035184</v>
      </c>
      <c r="G25" s="40" t="n">
        <f aca="false">F25/F$47</f>
        <v>0.00308169780374828</v>
      </c>
      <c r="H25" s="50" t="n">
        <f aca="false">Processes!G50</f>
        <v>63383.94</v>
      </c>
      <c r="I25" s="31" t="n">
        <f aca="false">H25*$C25</f>
        <v>0.000709900128</v>
      </c>
      <c r="J25" s="40" t="n">
        <f aca="false">I25/I$47</f>
        <v>0.00267459892669165</v>
      </c>
      <c r="K25" s="35" t="n">
        <f aca="false">I25/F25*$B$2</f>
        <v>57.8674810627825</v>
      </c>
      <c r="L25" s="50" t="n">
        <f aca="false">Processes!J50</f>
        <v>69212.2</v>
      </c>
      <c r="M25" s="31" t="n">
        <f aca="false">L25*$C25</f>
        <v>0.00077517664</v>
      </c>
      <c r="N25" s="40" t="n">
        <f aca="false">M25/M$47</f>
        <v>0.00283932226272757</v>
      </c>
      <c r="O25" s="51"/>
      <c r="Q25" s="3"/>
      <c r="R25" s="3"/>
      <c r="S25" s="3"/>
      <c r="T25" s="3"/>
      <c r="U25" s="3"/>
      <c r="V25" s="42"/>
      <c r="X25" s="3"/>
      <c r="Y25" s="42"/>
      <c r="Z25" s="3"/>
      <c r="AA25" s="3"/>
      <c r="AB25" s="3"/>
      <c r="AE25" s="3"/>
      <c r="AF25" s="3"/>
      <c r="AG25" s="42"/>
      <c r="AH25" s="42"/>
      <c r="AI25" s="3"/>
      <c r="AJ25" s="3"/>
      <c r="AK25" s="3"/>
      <c r="AL25" s="3"/>
      <c r="AM25" s="3"/>
      <c r="AN25" s="3"/>
      <c r="AP25" s="25" t="n">
        <v>140000</v>
      </c>
      <c r="AQ25" s="38" t="n">
        <f aca="false">AQ$6+AE$9*$AP25</f>
        <v>38464.1593160116</v>
      </c>
      <c r="AR25" s="38" t="n">
        <f aca="false">AR$6+AG$10*$AP25</f>
        <v>24895.2203666531</v>
      </c>
      <c r="AS25" s="38" t="n">
        <f aca="false">AS$6+AI$11*$AP25</f>
        <v>9825.3420886531</v>
      </c>
      <c r="AT25" s="38" t="n">
        <f aca="false">AT$6+AK$12*$AP25</f>
        <v>12141.4337574531</v>
      </c>
      <c r="AU25" s="38" t="n">
        <f aca="false">AU$6+AM$13*$AP25</f>
        <v>46025.2052426531</v>
      </c>
      <c r="AV25" s="38"/>
      <c r="AW25" s="25" t="n">
        <f aca="false">AP25</f>
        <v>140000</v>
      </c>
      <c r="AX25" s="38" t="n">
        <f aca="false">AQ25/$AW25</f>
        <v>0.274743995114368</v>
      </c>
      <c r="AY25" s="38" t="n">
        <f aca="false">AR25/$AW25</f>
        <v>0.177823002618951</v>
      </c>
      <c r="AZ25" s="38" t="n">
        <f aca="false">AS25/$AW25</f>
        <v>0.0701810149189507</v>
      </c>
      <c r="BA25" s="38" t="n">
        <f aca="false">AT25/$AW25</f>
        <v>0.0867245268389507</v>
      </c>
      <c r="BB25" s="38" t="n">
        <f aca="false">AU25/$AW25</f>
        <v>0.328751466018951</v>
      </c>
    </row>
    <row r="26" customFormat="false" ht="20.25" hidden="false" customHeight="false" outlineLevel="0" collapsed="false">
      <c r="A26" s="30" t="s">
        <v>76</v>
      </c>
      <c r="B26" s="31" t="n">
        <v>0.000315</v>
      </c>
      <c r="C26" s="31" t="n">
        <f aca="false">B26/$B$4</f>
        <v>2.1E-009</v>
      </c>
      <c r="D26" s="31" t="s">
        <v>46</v>
      </c>
      <c r="E26" s="49" t="n">
        <f aca="false">Processes!H52</f>
        <v>177394.8258176</v>
      </c>
      <c r="F26" s="31" t="n">
        <f aca="false">E26*$C26</f>
        <v>0.00037252913421696</v>
      </c>
      <c r="G26" s="40" t="n">
        <f aca="false">F26/F$47</f>
        <v>9.35809857631431E-005</v>
      </c>
      <c r="H26" s="50" t="n">
        <f aca="false">Processes!G52</f>
        <v>10203.118</v>
      </c>
      <c r="I26" s="31" t="n">
        <f aca="false">H26*$C26</f>
        <v>2.14265478E-005</v>
      </c>
      <c r="J26" s="40" t="n">
        <f aca="false">I26/I$47</f>
        <v>8.07260338296309E-005</v>
      </c>
      <c r="K26" s="35" t="n">
        <f aca="false">I26/F26*$B$2</f>
        <v>57.5164351777148</v>
      </c>
      <c r="L26" s="50" t="n">
        <f aca="false">Processes!J52</f>
        <v>11194.083</v>
      </c>
      <c r="M26" s="31" t="n">
        <f aca="false">L26*$C26</f>
        <v>2.35075743E-005</v>
      </c>
      <c r="N26" s="40" t="n">
        <f aca="false">M26/M$47</f>
        <v>8.61037028317989E-005</v>
      </c>
      <c r="Q26" s="3"/>
      <c r="R26" s="3"/>
      <c r="S26" s="3"/>
      <c r="T26" s="3"/>
      <c r="U26" s="3"/>
      <c r="V26" s="42"/>
      <c r="X26" s="3"/>
      <c r="Y26" s="42"/>
      <c r="Z26" s="3"/>
      <c r="AA26" s="3"/>
      <c r="AB26" s="3"/>
      <c r="AE26" s="3"/>
      <c r="AF26" s="3"/>
      <c r="AG26" s="42"/>
      <c r="AH26" s="42"/>
      <c r="AI26" s="3"/>
      <c r="AJ26" s="3"/>
      <c r="AK26" s="3"/>
      <c r="AL26" s="3"/>
      <c r="AM26" s="3"/>
      <c r="AN26" s="3"/>
      <c r="AP26" s="25" t="n">
        <v>150000</v>
      </c>
      <c r="AQ26" s="38" t="n">
        <f aca="false">AQ$6+AE$9*$AP26</f>
        <v>40785.1702679163</v>
      </c>
      <c r="AR26" s="38" t="n">
        <f aca="false">AR$6+AG$10*$AP26</f>
        <v>26009.2923126531</v>
      </c>
      <c r="AS26" s="38" t="n">
        <f aca="false">AS$6+AI$11*$AP26</f>
        <v>9862.9941576531</v>
      </c>
      <c r="AT26" s="38" t="n">
        <f aca="false">AT$6+AK$12*$AP26</f>
        <v>12344.5209456531</v>
      </c>
      <c r="AU26" s="38" t="n">
        <f aca="false">AU$6+AM$13*$AP26</f>
        <v>48648.5618226531</v>
      </c>
      <c r="AV26" s="38"/>
      <c r="AW26" s="25" t="n">
        <f aca="false">AP26</f>
        <v>150000</v>
      </c>
      <c r="AX26" s="38" t="n">
        <f aca="false">AQ26/$AW26</f>
        <v>0.271901135119442</v>
      </c>
      <c r="AY26" s="38" t="n">
        <f aca="false">AR26/$AW26</f>
        <v>0.173395282084354</v>
      </c>
      <c r="AZ26" s="38" t="n">
        <f aca="false">AS26/$AW26</f>
        <v>0.065753294384354</v>
      </c>
      <c r="BA26" s="38" t="n">
        <f aca="false">AT26/$AW26</f>
        <v>0.082296806304354</v>
      </c>
      <c r="BB26" s="38" t="n">
        <f aca="false">AU26/$AW26</f>
        <v>0.324323745484354</v>
      </c>
    </row>
    <row r="27" customFormat="false" ht="20.25" hidden="false" customHeight="false" outlineLevel="0" collapsed="false">
      <c r="A27" s="30" t="s">
        <v>77</v>
      </c>
      <c r="B27" s="2" t="n">
        <v>0.84</v>
      </c>
      <c r="C27" s="31" t="n">
        <f aca="false">B27/$B$4</f>
        <v>5.6E-006</v>
      </c>
      <c r="D27" s="31" t="s">
        <v>46</v>
      </c>
      <c r="E27" s="32" t="n">
        <f aca="false">Processes!H22</f>
        <v>3.27912764216</v>
      </c>
      <c r="F27" s="31" t="n">
        <f aca="false">E27*$C27</f>
        <v>1.8363114796096E-005</v>
      </c>
      <c r="G27" s="40" t="n">
        <f aca="false">F27/F$47</f>
        <v>4.61289662058916E-006</v>
      </c>
      <c r="H27" s="34" t="n">
        <f aca="false">Processes!G22</f>
        <v>0.092734681</v>
      </c>
      <c r="I27" s="31" t="n">
        <f aca="false">H27*$C27</f>
        <v>5.193142136E-007</v>
      </c>
      <c r="J27" s="40" t="n">
        <f aca="false">I27/I$47</f>
        <v>1.95655301855401E-006</v>
      </c>
      <c r="K27" s="35" t="n">
        <f aca="false">I27/F27*$B$2</f>
        <v>28.2802901014596</v>
      </c>
      <c r="L27" s="34" t="n">
        <f aca="false">Processes!J22</f>
        <v>0.10553827</v>
      </c>
      <c r="M27" s="31" t="n">
        <f aca="false">L27*$C27</f>
        <v>5.91014312E-007</v>
      </c>
      <c r="N27" s="40" t="n">
        <f aca="false">M27/M$47</f>
        <v>2.16477123672382E-006</v>
      </c>
      <c r="AP27" s="25" t="n">
        <v>160000</v>
      </c>
      <c r="AQ27" s="38" t="n">
        <f aca="false">AQ$6+AE$9*$AP27</f>
        <v>43106.1812198211</v>
      </c>
      <c r="AR27" s="38" t="n">
        <f aca="false">AR$6+AG$10*$AP27</f>
        <v>27123.3642586531</v>
      </c>
      <c r="AS27" s="38" t="n">
        <f aca="false">AS$6+AI$11*$AP27</f>
        <v>9900.6462266531</v>
      </c>
      <c r="AT27" s="38" t="n">
        <f aca="false">AT$6+AK$12*$AP27</f>
        <v>12547.6081338531</v>
      </c>
      <c r="AU27" s="38" t="n">
        <f aca="false">AU$6+AM$13*$AP27</f>
        <v>51271.9184026531</v>
      </c>
      <c r="AV27" s="38"/>
      <c r="AW27" s="25" t="n">
        <f aca="false">AP27</f>
        <v>160000</v>
      </c>
      <c r="AX27" s="38" t="n">
        <f aca="false">AQ27/$AW27</f>
        <v>0.269413632623882</v>
      </c>
      <c r="AY27" s="38" t="n">
        <f aca="false">AR27/$AW27</f>
        <v>0.169521026616582</v>
      </c>
      <c r="AZ27" s="38" t="n">
        <f aca="false">AS27/$AW27</f>
        <v>0.0618790389165819</v>
      </c>
      <c r="BA27" s="38" t="n">
        <f aca="false">AT27/$AW27</f>
        <v>0.0784225508365819</v>
      </c>
      <c r="BB27" s="38" t="n">
        <f aca="false">AU27/$AW27</f>
        <v>0.320449490016582</v>
      </c>
    </row>
    <row r="28" customFormat="false" ht="20.25" hidden="false" customHeight="false" outlineLevel="0" collapsed="false">
      <c r="A28" s="30" t="s">
        <v>78</v>
      </c>
      <c r="B28" s="2" t="n">
        <v>46.3</v>
      </c>
      <c r="C28" s="31" t="n">
        <f aca="false">B28/$B$4</f>
        <v>0.000308666666666667</v>
      </c>
      <c r="D28" s="31" t="s">
        <v>46</v>
      </c>
      <c r="E28" s="32" t="n">
        <f aca="false">Processes!H23</f>
        <v>83.6023974432</v>
      </c>
      <c r="F28" s="31" t="n">
        <f aca="false">E28*$C28</f>
        <v>0.0258052733441344</v>
      </c>
      <c r="G28" s="40" t="n">
        <f aca="false">F28/F$47</f>
        <v>0.00648240015511119</v>
      </c>
      <c r="H28" s="34" t="n">
        <f aca="false">Processes!G23</f>
        <v>2.4385405</v>
      </c>
      <c r="I28" s="31" t="n">
        <f aca="false">H28*$C28</f>
        <v>0.000752696167666667</v>
      </c>
      <c r="J28" s="40" t="n">
        <f aca="false">I28/I$47</f>
        <v>0.00283583603208786</v>
      </c>
      <c r="K28" s="35" t="n">
        <f aca="false">I28/F28*$B$2</f>
        <v>29.1683082612166</v>
      </c>
      <c r="L28" s="34" t="n">
        <f aca="false">Processes!J23</f>
        <v>2.727539</v>
      </c>
      <c r="M28" s="31" t="n">
        <f aca="false">L28*$C28</f>
        <v>0.000841900371333333</v>
      </c>
      <c r="N28" s="40" t="n">
        <f aca="false">M28/M$47</f>
        <v>0.00308371839910622</v>
      </c>
      <c r="AP28" s="25" t="n">
        <v>170000</v>
      </c>
      <c r="AQ28" s="38" t="n">
        <f aca="false">AQ$6+AE$9*$AP28</f>
        <v>45427.1921717258</v>
      </c>
      <c r="AR28" s="38" t="n">
        <f aca="false">AR$6+AG$10*$AP28</f>
        <v>28237.4362046531</v>
      </c>
      <c r="AS28" s="38" t="n">
        <f aca="false">AS$6+AI$11*$AP28</f>
        <v>9938.2982956531</v>
      </c>
      <c r="AT28" s="38" t="n">
        <f aca="false">AT$6+AK$12*$AP28</f>
        <v>12750.6953220531</v>
      </c>
      <c r="AU28" s="38" t="n">
        <f aca="false">AU$6+AM$13*$AP28</f>
        <v>53895.2749826531</v>
      </c>
      <c r="AV28" s="38"/>
      <c r="AW28" s="25" t="n">
        <f aca="false">AP28</f>
        <v>170000</v>
      </c>
      <c r="AX28" s="38" t="n">
        <f aca="false">AQ28/$AW28</f>
        <v>0.26721877748074</v>
      </c>
      <c r="AY28" s="38" t="n">
        <f aca="false">AR28/$AW28</f>
        <v>0.166102565909724</v>
      </c>
      <c r="AZ28" s="38" t="n">
        <f aca="false">AS28/$AW28</f>
        <v>0.0584605782097241</v>
      </c>
      <c r="BA28" s="38" t="n">
        <f aca="false">AT28/$AW28</f>
        <v>0.0750040901297241</v>
      </c>
      <c r="BB28" s="38" t="n">
        <f aca="false">AU28/$AW28</f>
        <v>0.317031029309724</v>
      </c>
    </row>
    <row r="29" customFormat="false" ht="20.25" hidden="false" customHeight="false" outlineLevel="0" collapsed="false">
      <c r="A29" s="30" t="s">
        <v>79</v>
      </c>
      <c r="B29" s="2" t="n">
        <v>3381</v>
      </c>
      <c r="C29" s="31" t="n">
        <f aca="false">B29/$B$4</f>
        <v>0.02254</v>
      </c>
      <c r="D29" s="31" t="s">
        <v>46</v>
      </c>
      <c r="E29" s="32" t="n">
        <f aca="false">Processes!H24</f>
        <v>0.00524675681922</v>
      </c>
      <c r="F29" s="31" t="n">
        <f aca="false">E29*$C29</f>
        <v>0.000118261898705219</v>
      </c>
      <c r="G29" s="40" t="n">
        <f aca="false">F29/F$47</f>
        <v>2.97079182338795E-005</v>
      </c>
      <c r="H29" s="34" t="n">
        <f aca="false">Processes!G24</f>
        <v>0.00030655741</v>
      </c>
      <c r="I29" s="31" t="n">
        <f aca="false">H29*$C29</f>
        <v>6.9098040214E-006</v>
      </c>
      <c r="J29" s="40" t="n">
        <f aca="false">I29/I$47</f>
        <v>2.60331752176921E-005</v>
      </c>
      <c r="K29" s="35" t="n">
        <f aca="false">I29/F29*$B$2</f>
        <v>58.4279814297881</v>
      </c>
      <c r="L29" s="34" t="n">
        <f aca="false">Processes!J24</f>
        <v>0.00033307439</v>
      </c>
      <c r="M29" s="31" t="n">
        <f aca="false">L29*$C29</f>
        <v>7.5074967506E-006</v>
      </c>
      <c r="N29" s="40" t="n">
        <f aca="false">M29/M$47</f>
        <v>2.7498510096142E-005</v>
      </c>
      <c r="AP29" s="25" t="n">
        <v>180000</v>
      </c>
      <c r="AQ29" s="38" t="n">
        <f aca="false">AQ$6+AE$9*$AP29</f>
        <v>47748.2031236306</v>
      </c>
      <c r="AR29" s="38" t="n">
        <f aca="false">AR$6+AG$10*$AP29</f>
        <v>29351.5081506531</v>
      </c>
      <c r="AS29" s="38" t="n">
        <f aca="false">AS$6+AI$11*$AP29</f>
        <v>9975.9503646531</v>
      </c>
      <c r="AT29" s="38" t="n">
        <f aca="false">AT$6+AK$12*$AP29</f>
        <v>12953.7825102531</v>
      </c>
      <c r="AU29" s="38" t="n">
        <f aca="false">AU$6+AM$13*$AP29</f>
        <v>56518.6315626531</v>
      </c>
      <c r="AV29" s="38"/>
      <c r="AW29" s="25" t="n">
        <f aca="false">AP29</f>
        <v>180000</v>
      </c>
      <c r="AX29" s="38" t="n">
        <f aca="false">AQ29/$AW29</f>
        <v>0.265267795131281</v>
      </c>
      <c r="AY29" s="38" t="n">
        <f aca="false">AR29/$AW29</f>
        <v>0.163063934170295</v>
      </c>
      <c r="AZ29" s="38" t="n">
        <f aca="false">AS29/$AW29</f>
        <v>0.055421946470295</v>
      </c>
      <c r="BA29" s="38" t="n">
        <f aca="false">AT29/$AW29</f>
        <v>0.071965458390295</v>
      </c>
      <c r="BB29" s="38" t="n">
        <f aca="false">AU29/$AW29</f>
        <v>0.313992397570295</v>
      </c>
    </row>
    <row r="30" customFormat="false" ht="20.25" hidden="false" customHeight="false" outlineLevel="0" collapsed="false">
      <c r="A30" s="30" t="s">
        <v>80</v>
      </c>
      <c r="B30" s="2" t="n">
        <v>6.2</v>
      </c>
      <c r="C30" s="31" t="n">
        <f aca="false">B30/$B$4</f>
        <v>4.13333333333333E-005</v>
      </c>
      <c r="D30" s="31" t="s">
        <v>46</v>
      </c>
      <c r="E30" s="32" t="n">
        <f aca="false">Processes!H25</f>
        <v>42.3454372782</v>
      </c>
      <c r="F30" s="31" t="n">
        <f aca="false">E30*$C30</f>
        <v>0.0017502780741656</v>
      </c>
      <c r="G30" s="40" t="n">
        <f aca="false">F30/F$47</f>
        <v>0.000439677685570332</v>
      </c>
      <c r="H30" s="34" t="n">
        <f aca="false">Processes!G25</f>
        <v>2.5227369</v>
      </c>
      <c r="I30" s="31" t="n">
        <f aca="false">H30*$C30</f>
        <v>0.0001042731252</v>
      </c>
      <c r="J30" s="40" t="n">
        <f aca="false">I30/I$47</f>
        <v>0.000392856371963781</v>
      </c>
      <c r="K30" s="35" t="n">
        <f aca="false">I30/F30*$B$2</f>
        <v>59.5751765042875</v>
      </c>
      <c r="L30" s="34" t="n">
        <f aca="false">Processes!J25</f>
        <v>2.7140714</v>
      </c>
      <c r="M30" s="31" t="n">
        <f aca="false">L30*$C30</f>
        <v>0.000112181617866667</v>
      </c>
      <c r="N30" s="40" t="n">
        <f aca="false">M30/M$47</f>
        <v>0.000410899591966062</v>
      </c>
      <c r="AP30" s="25" t="n">
        <v>190000</v>
      </c>
      <c r="AQ30" s="38" t="n">
        <f aca="false">AQ$6+AE$9*$AP30</f>
        <v>50069.2140755354</v>
      </c>
      <c r="AR30" s="38" t="n">
        <f aca="false">AR$6+AG$10*$AP30</f>
        <v>30465.5800966531</v>
      </c>
      <c r="AS30" s="38" t="n">
        <f aca="false">AS$6+AI$11*$AP30</f>
        <v>10013.6024336531</v>
      </c>
      <c r="AT30" s="38" t="n">
        <f aca="false">AT$6+AK$12*$AP30</f>
        <v>13156.8696984531</v>
      </c>
      <c r="AU30" s="38" t="n">
        <f aca="false">AU$6+AM$13*$AP30</f>
        <v>59141.9881426531</v>
      </c>
      <c r="AV30" s="38"/>
      <c r="AW30" s="25" t="n">
        <f aca="false">AP30</f>
        <v>190000</v>
      </c>
      <c r="AX30" s="38" t="n">
        <f aca="false">AQ30/$AW30</f>
        <v>0.263522179344923</v>
      </c>
      <c r="AY30" s="38" t="n">
        <f aca="false">AR30/$AW30</f>
        <v>0.160345158403437</v>
      </c>
      <c r="AZ30" s="38" t="n">
        <f aca="false">AS30/$AW30</f>
        <v>0.0527031707034374</v>
      </c>
      <c r="BA30" s="38" t="n">
        <f aca="false">AT30/$AW30</f>
        <v>0.0692466826234374</v>
      </c>
      <c r="BB30" s="38" t="n">
        <f aca="false">AU30/$AW30</f>
        <v>0.311273621803437</v>
      </c>
    </row>
    <row r="31" customFormat="false" ht="20.25" hidden="false" customHeight="false" outlineLevel="0" collapsed="false">
      <c r="A31" s="30" t="s">
        <v>81</v>
      </c>
      <c r="B31" s="52" t="n">
        <v>2247</v>
      </c>
      <c r="C31" s="31" t="n">
        <f aca="false">B31/$B$4</f>
        <v>0.01498</v>
      </c>
      <c r="D31" s="31" t="s">
        <v>82</v>
      </c>
      <c r="E31" s="32" t="n">
        <f aca="false">Processes!H46</f>
        <v>9.06833804836</v>
      </c>
      <c r="F31" s="31" t="n">
        <f aca="false">E31*$C31</f>
        <v>0.135843703964433</v>
      </c>
      <c r="G31" s="40" t="n">
        <f aca="false">F31/F$47</f>
        <v>0.0341245464020662</v>
      </c>
      <c r="H31" s="53" t="n">
        <f aca="false">Processes!G46</f>
        <v>0.40013556</v>
      </c>
      <c r="I31" s="31" t="n">
        <f aca="false">H31*$C31</f>
        <v>0.0059940306888</v>
      </c>
      <c r="J31" s="40" t="n">
        <f aca="false">I31/I$47</f>
        <v>0.0225829344361258</v>
      </c>
      <c r="K31" s="35" t="n">
        <f aca="false">I31/F31*$B$2</f>
        <v>44.1244644681463</v>
      </c>
      <c r="L31" s="53" t="n">
        <f aca="false">Processes!J46</f>
        <v>0.42848921</v>
      </c>
      <c r="M31" s="31" t="n">
        <f aca="false">L31*$C31</f>
        <v>0.0064187683658</v>
      </c>
      <c r="N31" s="40" t="n">
        <f aca="false">M31/M$47</f>
        <v>0.0235107083726199</v>
      </c>
      <c r="AP31" s="25" t="n">
        <v>200000</v>
      </c>
      <c r="AQ31" s="38" t="n">
        <f aca="false">AQ$6+AE$9*$AP31</f>
        <v>52390.2250274401</v>
      </c>
      <c r="AR31" s="38" t="n">
        <f aca="false">AR$6+AG$10*$AP31</f>
        <v>31579.6520426531</v>
      </c>
      <c r="AS31" s="38" t="n">
        <f aca="false">AS$6+AI$11*$AP31</f>
        <v>10051.2545026531</v>
      </c>
      <c r="AT31" s="38" t="n">
        <f aca="false">AT$6+AK$12*$AP31</f>
        <v>13359.9568866531</v>
      </c>
      <c r="AU31" s="38" t="n">
        <f aca="false">AU$6+AM$13*$AP31</f>
        <v>61765.3447226531</v>
      </c>
      <c r="AV31" s="38"/>
      <c r="AW31" s="25" t="n">
        <f aca="false">AP31</f>
        <v>200000</v>
      </c>
      <c r="AX31" s="38" t="n">
        <f aca="false">AQ31/$AW31</f>
        <v>0.261951125137201</v>
      </c>
      <c r="AY31" s="38" t="n">
        <f aca="false">AR31/$AW31</f>
        <v>0.157898260213266</v>
      </c>
      <c r="AZ31" s="38" t="n">
        <f aca="false">AS31/$AW31</f>
        <v>0.0502562725132655</v>
      </c>
      <c r="BA31" s="38" t="n">
        <f aca="false">AT31/$AW31</f>
        <v>0.0667997844332655</v>
      </c>
      <c r="BB31" s="38" t="n">
        <f aca="false">AU31/$AW31</f>
        <v>0.308826723613265</v>
      </c>
    </row>
    <row r="32" customFormat="false" ht="20.25" hidden="false" customHeight="false" outlineLevel="0" collapsed="false">
      <c r="A32" s="17" t="s">
        <v>83</v>
      </c>
      <c r="B32" s="18" t="s">
        <v>84</v>
      </c>
      <c r="C32" s="19" t="s">
        <v>43</v>
      </c>
      <c r="D32" s="54"/>
      <c r="E32" s="55"/>
      <c r="F32" s="56"/>
      <c r="G32" s="57"/>
      <c r="H32" s="55"/>
      <c r="I32" s="56"/>
      <c r="J32" s="57"/>
      <c r="K32" s="58"/>
      <c r="L32" s="55"/>
      <c r="M32" s="59"/>
      <c r="N32" s="60"/>
      <c r="AP32" s="25" t="n">
        <v>210000</v>
      </c>
      <c r="AQ32" s="38" t="n">
        <f aca="false">AQ$6+AE$9*$AP32</f>
        <v>54711.2359793449</v>
      </c>
      <c r="AR32" s="38" t="n">
        <f aca="false">AR$6+AG$10*$AP32</f>
        <v>32693.7239886531</v>
      </c>
      <c r="AS32" s="38" t="n">
        <f aca="false">AS$6+AI$11*$AP32</f>
        <v>10088.9065716531</v>
      </c>
      <c r="AT32" s="38" t="n">
        <f aca="false">AT$6+AK$12*$AP32</f>
        <v>13563.0440748531</v>
      </c>
      <c r="AU32" s="38" t="n">
        <f aca="false">AU$6+AM$13*$AP32</f>
        <v>64388.7013026531</v>
      </c>
      <c r="AV32" s="38"/>
      <c r="AW32" s="25" t="n">
        <f aca="false">AP32</f>
        <v>210000</v>
      </c>
      <c r="AX32" s="38" t="n">
        <f aca="false">AQ32/$AW32</f>
        <v>0.260529695139738</v>
      </c>
      <c r="AY32" s="38" t="n">
        <f aca="false">AR32/$AW32</f>
        <v>0.155684399945967</v>
      </c>
      <c r="AZ32" s="38" t="n">
        <f aca="false">AS32/$AW32</f>
        <v>0.0480424122459671</v>
      </c>
      <c r="BA32" s="38" t="n">
        <f aca="false">AT32/$AW32</f>
        <v>0.0645859241659672</v>
      </c>
      <c r="BB32" s="38" t="n">
        <f aca="false">AU32/$AW32</f>
        <v>0.306612863345967</v>
      </c>
    </row>
    <row r="33" customFormat="false" ht="20.25" hidden="false" customHeight="false" outlineLevel="0" collapsed="false">
      <c r="A33" s="30" t="s">
        <v>85</v>
      </c>
      <c r="B33" s="34" t="n">
        <v>556.5</v>
      </c>
      <c r="C33" s="31" t="n">
        <f aca="false">B33/$B$4</f>
        <v>0.00371</v>
      </c>
      <c r="D33" s="61" t="s">
        <v>86</v>
      </c>
      <c r="E33" s="34" t="n">
        <f aca="false">Processes!H32</f>
        <v>0.70222190421</v>
      </c>
      <c r="F33" s="62" t="n">
        <f aca="false">E33*$C33</f>
        <v>0.0026052432646191</v>
      </c>
      <c r="G33" s="63" t="n">
        <f aca="false">F33/F$47</f>
        <v>0.000654448767794508</v>
      </c>
      <c r="H33" s="64" t="n">
        <f aca="false">Processes!G32</f>
        <v>0.041812313</v>
      </c>
      <c r="I33" s="65" t="n">
        <f aca="false">H33*$C33</f>
        <v>0.00015512368123</v>
      </c>
      <c r="J33" s="40" t="n">
        <f aca="false">I33/I$47</f>
        <v>0.000584439437264358</v>
      </c>
      <c r="K33" s="66" t="n">
        <f aca="false">I33/F33*$B$2</f>
        <v>59.5428777560547</v>
      </c>
      <c r="L33" s="64" t="n">
        <f aca="false">Processes!J32</f>
        <v>0.044801749</v>
      </c>
      <c r="M33" s="31" t="n">
        <f aca="false">L33*$C33</f>
        <v>0.00016621448879</v>
      </c>
      <c r="N33" s="40" t="n">
        <f aca="false">M33/M$47</f>
        <v>0.000608811558626597</v>
      </c>
      <c r="AP33" s="25" t="n">
        <v>220000</v>
      </c>
      <c r="AQ33" s="38" t="n">
        <f aca="false">AQ$6+AE$9*$AP33</f>
        <v>57032.2469312497</v>
      </c>
      <c r="AR33" s="38" t="n">
        <f aca="false">AR$6+AG$10*$AP33</f>
        <v>33807.7959346531</v>
      </c>
      <c r="AS33" s="38" t="n">
        <f aca="false">AS$6+AI$11*$AP33</f>
        <v>10126.5586406531</v>
      </c>
      <c r="AT33" s="38" t="n">
        <f aca="false">AT$6+AK$12*$AP33</f>
        <v>13766.1312630531</v>
      </c>
      <c r="AU33" s="38" t="n">
        <f aca="false">AU$6+AM$13*$AP33</f>
        <v>67012.0578826531</v>
      </c>
      <c r="AV33" s="38"/>
      <c r="AW33" s="25" t="n">
        <f aca="false">AP33</f>
        <v>220000</v>
      </c>
      <c r="AX33" s="38" t="n">
        <f aca="false">AQ33/$AW33</f>
        <v>0.259237486051135</v>
      </c>
      <c r="AY33" s="38" t="n">
        <f aca="false">AR33/$AW33</f>
        <v>0.153671799702969</v>
      </c>
      <c r="AZ33" s="38" t="n">
        <f aca="false">AS33/$AW33</f>
        <v>0.0460298120029686</v>
      </c>
      <c r="BA33" s="38" t="n">
        <f aca="false">AT33/$AW33</f>
        <v>0.0625733239229686</v>
      </c>
      <c r="BB33" s="38" t="n">
        <f aca="false">AU33/$AW33</f>
        <v>0.304600263102969</v>
      </c>
    </row>
    <row r="34" customFormat="false" ht="20.25" hidden="false" customHeight="false" outlineLevel="0" collapsed="false">
      <c r="A34" s="30" t="s">
        <v>87</v>
      </c>
      <c r="B34" s="34" t="n">
        <v>59.1</v>
      </c>
      <c r="C34" s="31" t="n">
        <f aca="false">B34/$B$4</f>
        <v>0.000394</v>
      </c>
      <c r="D34" s="61" t="s">
        <v>86</v>
      </c>
      <c r="E34" s="34" t="n">
        <f aca="false">Processes!H33</f>
        <v>2.71316117779</v>
      </c>
      <c r="F34" s="62" t="n">
        <f aca="false">E34*$C34</f>
        <v>0.00106898550404926</v>
      </c>
      <c r="G34" s="63" t="n">
        <f aca="false">F34/F$47</f>
        <v>0.000268533942843727</v>
      </c>
      <c r="H34" s="64" t="n">
        <f aca="false">Processes!G33</f>
        <v>0.16557683</v>
      </c>
      <c r="I34" s="65" t="n">
        <f aca="false">H34*$C34</f>
        <v>6.523727102E-005</v>
      </c>
      <c r="J34" s="40" t="n">
        <f aca="false">I34/I$47</f>
        <v>0.000245786031257603</v>
      </c>
      <c r="K34" s="66" t="n">
        <f aca="false">I34/F34*$B$2</f>
        <v>61.0272737776936</v>
      </c>
      <c r="L34" s="64" t="n">
        <f aca="false">Processes!J33</f>
        <v>0.17185733</v>
      </c>
      <c r="M34" s="31" t="n">
        <f aca="false">L34*$C34</f>
        <v>6.771178802E-005</v>
      </c>
      <c r="N34" s="40" t="n">
        <f aca="false">M34/M$47</f>
        <v>0.000248015197122395</v>
      </c>
      <c r="AP34" s="25" t="n">
        <v>230000</v>
      </c>
      <c r="AQ34" s="38" t="n">
        <f aca="false">AQ$6+AE$9*$AP34</f>
        <v>59353.2578831544</v>
      </c>
      <c r="AR34" s="38" t="n">
        <f aca="false">AR$6+AG$10*$AP34</f>
        <v>34921.8678806531</v>
      </c>
      <c r="AS34" s="38" t="n">
        <f aca="false">AS$6+AI$11*$AP34</f>
        <v>10164.2107096531</v>
      </c>
      <c r="AT34" s="38" t="n">
        <f aca="false">AT$6+AK$12*$AP34</f>
        <v>13969.2184512531</v>
      </c>
      <c r="AU34" s="38" t="n">
        <f aca="false">AU$6+AM$13*$AP34</f>
        <v>69635.4144626531</v>
      </c>
      <c r="AV34" s="38"/>
      <c r="AW34" s="25" t="n">
        <f aca="false">AP34</f>
        <v>230000</v>
      </c>
      <c r="AX34" s="38" t="n">
        <f aca="false">AQ34/$AW34</f>
        <v>0.258057642970237</v>
      </c>
      <c r="AY34" s="38" t="n">
        <f aca="false">AR34/$AW34</f>
        <v>0.151834208176753</v>
      </c>
      <c r="AZ34" s="38" t="n">
        <f aca="false">AS34/$AW34</f>
        <v>0.0441922204767526</v>
      </c>
      <c r="BA34" s="38" t="n">
        <f aca="false">AT34/$AW34</f>
        <v>0.0607357323967526</v>
      </c>
      <c r="BB34" s="38" t="n">
        <f aca="false">AU34/$AW34</f>
        <v>0.302762671576753</v>
      </c>
    </row>
    <row r="35" customFormat="false" ht="20.25" hidden="false" customHeight="false" outlineLevel="0" collapsed="false">
      <c r="A35" s="30" t="s">
        <v>88</v>
      </c>
      <c r="B35" s="34" t="n">
        <v>10400</v>
      </c>
      <c r="C35" s="31" t="n">
        <f aca="false">B35/$B$4</f>
        <v>0.0693333333333333</v>
      </c>
      <c r="D35" s="61" t="s">
        <v>86</v>
      </c>
      <c r="E35" s="34" t="n">
        <f aca="false">Processes!H34</f>
        <v>0.1278566599795</v>
      </c>
      <c r="F35" s="62" t="n">
        <f aca="false">E35*$C35</f>
        <v>0.00886472842524533</v>
      </c>
      <c r="G35" s="63" t="n">
        <f aca="false">F35/F$47</f>
        <v>0.00222685945436384</v>
      </c>
      <c r="H35" s="64" t="n">
        <f aca="false">Processes!G34</f>
        <v>0.0090969942</v>
      </c>
      <c r="I35" s="65" t="n">
        <f aca="false">H35*$C35</f>
        <v>0.0006307249312</v>
      </c>
      <c r="J35" s="40" t="n">
        <f aca="false">I35/I$47</f>
        <v>0.00237630077455795</v>
      </c>
      <c r="K35" s="66" t="n">
        <f aca="false">I35/F35*$B$2</f>
        <v>71.1499440190177</v>
      </c>
      <c r="L35" s="64" t="n">
        <f aca="false">Processes!J34</f>
        <v>0.0094049824</v>
      </c>
      <c r="M35" s="31" t="n">
        <f aca="false">L35*$C35</f>
        <v>0.000652078779733333</v>
      </c>
      <c r="N35" s="40" t="n">
        <f aca="false">M35/M$47</f>
        <v>0.0023884385839453</v>
      </c>
      <c r="AP35" s="25" t="n">
        <v>240000</v>
      </c>
      <c r="AQ35" s="38" t="n">
        <f aca="false">AQ$6+AE$9*$AP35</f>
        <v>61674.2688350592</v>
      </c>
      <c r="AR35" s="38" t="n">
        <f aca="false">AR$6+AG$10*$AP35</f>
        <v>36035.9398266531</v>
      </c>
      <c r="AS35" s="38" t="n">
        <f aca="false">AS$6+AI$11*$AP35</f>
        <v>10201.8627786531</v>
      </c>
      <c r="AT35" s="38" t="n">
        <f aca="false">AT$6+AK$12*$AP35</f>
        <v>14172.3056394531</v>
      </c>
      <c r="AU35" s="38" t="n">
        <f aca="false">AU$6+AM$13*$AP35</f>
        <v>72258.7710426531</v>
      </c>
      <c r="AV35" s="38"/>
      <c r="AW35" s="25" t="n">
        <f aca="false">AP35</f>
        <v>240000</v>
      </c>
      <c r="AX35" s="38" t="n">
        <f aca="false">AQ35/$AW35</f>
        <v>0.25697612014608</v>
      </c>
      <c r="AY35" s="38" t="n">
        <f aca="false">AR35/$AW35</f>
        <v>0.150149749277721</v>
      </c>
      <c r="AZ35" s="38" t="n">
        <f aca="false">AS35/$AW35</f>
        <v>0.0425077615777213</v>
      </c>
      <c r="BA35" s="38" t="n">
        <f aca="false">AT35/$AW35</f>
        <v>0.0590512734977213</v>
      </c>
      <c r="BB35" s="38" t="n">
        <f aca="false">AU35/$AW35</f>
        <v>0.301078212677721</v>
      </c>
    </row>
    <row r="36" customFormat="false" ht="20.25" hidden="false" customHeight="false" outlineLevel="0" collapsed="false">
      <c r="A36" s="17" t="s">
        <v>89</v>
      </c>
      <c r="B36" s="18" t="s">
        <v>90</v>
      </c>
      <c r="C36" s="19" t="s">
        <v>43</v>
      </c>
      <c r="D36" s="54"/>
      <c r="E36" s="55"/>
      <c r="F36" s="56"/>
      <c r="G36" s="57"/>
      <c r="H36" s="67"/>
      <c r="I36" s="56"/>
      <c r="J36" s="57"/>
      <c r="K36" s="68"/>
      <c r="L36" s="67"/>
      <c r="M36" s="59"/>
      <c r="N36" s="60"/>
      <c r="W36" s="3"/>
      <c r="X36" s="3"/>
      <c r="Y36" s="3"/>
      <c r="AP36" s="25" t="n">
        <v>250000</v>
      </c>
      <c r="AQ36" s="38" t="n">
        <f aca="false">AQ$6+AE$9*$AP36</f>
        <v>63995.2797869639</v>
      </c>
      <c r="AR36" s="38" t="n">
        <f aca="false">AR$6+AG$10*$AP36</f>
        <v>37150.0117726531</v>
      </c>
      <c r="AS36" s="38" t="n">
        <f aca="false">AS$6+AI$11*$AP36</f>
        <v>10239.5148476531</v>
      </c>
      <c r="AT36" s="38" t="n">
        <f aca="false">AT$6+AK$12*$AP36</f>
        <v>14375.3928276531</v>
      </c>
      <c r="AU36" s="38" t="n">
        <f aca="false">AU$6+AM$13*$AP36</f>
        <v>74882.1276226531</v>
      </c>
      <c r="AV36" s="38"/>
      <c r="AW36" s="25" t="n">
        <f aca="false">AP36</f>
        <v>250000</v>
      </c>
      <c r="AX36" s="38" t="n">
        <f aca="false">AQ36/$AW36</f>
        <v>0.255981119147856</v>
      </c>
      <c r="AY36" s="38" t="n">
        <f aca="false">AR36/$AW36</f>
        <v>0.148600047090612</v>
      </c>
      <c r="AZ36" s="38" t="n">
        <f aca="false">AS36/$AW36</f>
        <v>0.0409580593906124</v>
      </c>
      <c r="BA36" s="38" t="n">
        <f aca="false">AT36/$AW36</f>
        <v>0.0575015713106124</v>
      </c>
      <c r="BB36" s="38" t="n">
        <f aca="false">AU36/$AW36</f>
        <v>0.299528510490612</v>
      </c>
    </row>
    <row r="37" customFormat="false" ht="20.25" hidden="false" customHeight="false" outlineLevel="0" collapsed="false">
      <c r="A37" s="30" t="s">
        <v>91</v>
      </c>
      <c r="B37" s="69" t="n">
        <v>0.0619047619047619</v>
      </c>
      <c r="C37" s="70" t="n">
        <f aca="false">B37</f>
        <v>0.0619047619047619</v>
      </c>
      <c r="D37" s="61" t="s">
        <v>46</v>
      </c>
      <c r="E37" s="34" t="n">
        <f aca="false">Processes!H45</f>
        <v>54.4007312206</v>
      </c>
      <c r="F37" s="62" t="n">
        <f aca="false">E37*$C37</f>
        <v>3.36766431365619</v>
      </c>
      <c r="G37" s="40" t="n">
        <f aca="false">F37/F$47</f>
        <v>0.845972347515142</v>
      </c>
      <c r="H37" s="34" t="n">
        <f aca="false">Processes!G45</f>
        <v>0.58292348</v>
      </c>
      <c r="I37" s="61" t="n">
        <f aca="false">H37*$C37</f>
        <v>0.0360857392380952</v>
      </c>
      <c r="J37" s="40" t="n">
        <f aca="false">I37/I$47</f>
        <v>0.135955574070673</v>
      </c>
      <c r="K37" s="35" t="n">
        <f aca="false">I37/F37*$B$2</f>
        <v>10.7153611159415</v>
      </c>
      <c r="L37" s="34" t="n">
        <f aca="false">Processes!J45</f>
        <v>0.63547923</v>
      </c>
      <c r="M37" s="31" t="n">
        <f aca="false">L37*$C37</f>
        <v>0.0393391904285714</v>
      </c>
      <c r="N37" s="40" t="n">
        <f aca="false">M37/M$47</f>
        <v>0.144091853930895</v>
      </c>
      <c r="AP37" s="25" t="n">
        <v>260000</v>
      </c>
      <c r="AQ37" s="38" t="n">
        <f aca="false">AQ$6+AE$9*$AP37</f>
        <v>66316.2907388687</v>
      </c>
      <c r="AR37" s="38" t="n">
        <f aca="false">AR$6+AG$10*$AP37</f>
        <v>38264.0837186531</v>
      </c>
      <c r="AS37" s="38" t="n">
        <f aca="false">AS$6+AI$11*$AP37</f>
        <v>10277.1669166531</v>
      </c>
      <c r="AT37" s="38" t="n">
        <f aca="false">AT$6+AK$12*$AP37</f>
        <v>14578.4800158531</v>
      </c>
      <c r="AU37" s="38" t="n">
        <f aca="false">AU$6+AM$13*$AP37</f>
        <v>77505.4842026531</v>
      </c>
      <c r="AV37" s="38"/>
      <c r="AW37" s="25" t="n">
        <f aca="false">AP37</f>
        <v>260000</v>
      </c>
      <c r="AX37" s="38" t="n">
        <f aca="false">AQ37/$AW37</f>
        <v>0.255062656687956</v>
      </c>
      <c r="AY37" s="38" t="n">
        <f aca="false">AR37/$AW37</f>
        <v>0.14716955276405</v>
      </c>
      <c r="AZ37" s="38" t="n">
        <f aca="false">AS37/$AW37</f>
        <v>0.0395275650640504</v>
      </c>
      <c r="BA37" s="38" t="n">
        <f aca="false">AT37/$AW37</f>
        <v>0.0560710769840504</v>
      </c>
      <c r="BB37" s="38" t="n">
        <f aca="false">AU37/$AW37</f>
        <v>0.29809801616405</v>
      </c>
    </row>
    <row r="38" customFormat="false" ht="20.25" hidden="false" customHeight="false" outlineLevel="0" collapsed="false">
      <c r="A38" s="30" t="s">
        <v>92</v>
      </c>
      <c r="B38" s="69" t="n">
        <v>0.0619047619047619</v>
      </c>
      <c r="C38" s="70" t="n">
        <f aca="false">B38</f>
        <v>0.0619047619047619</v>
      </c>
      <c r="D38" s="61" t="s">
        <v>46</v>
      </c>
      <c r="E38" s="34" t="n">
        <v>0</v>
      </c>
      <c r="F38" s="62" t="n">
        <f aca="false">E38*$C38</f>
        <v>0</v>
      </c>
      <c r="G38" s="40" t="n">
        <f aca="false">F38/F$47</f>
        <v>0</v>
      </c>
      <c r="H38" s="64" t="n">
        <f aca="false">0.2024/0.065</f>
        <v>3.11384615384615</v>
      </c>
      <c r="I38" s="61" t="n">
        <f aca="false">H38*$C38</f>
        <v>0.192761904761905</v>
      </c>
      <c r="J38" s="40" t="n">
        <f aca="false">I38/I$47</f>
        <v>0.726244105682466</v>
      </c>
      <c r="K38" s="71" t="n">
        <f aca="false">I38/F37*$B$2</f>
        <v>57.2390496226828</v>
      </c>
      <c r="L38" s="72" t="n">
        <f aca="false">0.2024/0.065</f>
        <v>3.11384615384615</v>
      </c>
      <c r="M38" s="73" t="n">
        <f aca="false">L38*$C38</f>
        <v>0.192761904761905</v>
      </c>
      <c r="N38" s="74" t="n">
        <f aca="false">M38/M$47</f>
        <v>0.706049614183739</v>
      </c>
      <c r="AP38" s="25" t="n">
        <v>270000</v>
      </c>
      <c r="AQ38" s="38" t="n">
        <f aca="false">AQ$6+AE$9*$AP38</f>
        <v>68637.3016907735</v>
      </c>
      <c r="AR38" s="38" t="n">
        <f aca="false">AR$6+AG$10*$AP38</f>
        <v>39378.1556646531</v>
      </c>
      <c r="AS38" s="38" t="n">
        <f aca="false">AS$6+AI$11*$AP38</f>
        <v>10314.8189856531</v>
      </c>
      <c r="AT38" s="38" t="n">
        <f aca="false">AT$6+AK$12*$AP38</f>
        <v>14781.5672040531</v>
      </c>
      <c r="AU38" s="38" t="n">
        <f aca="false">AU$6+AM$13*$AP38</f>
        <v>80128.8407826531</v>
      </c>
      <c r="AV38" s="38"/>
      <c r="AW38" s="25" t="n">
        <f aca="false">AP38</f>
        <v>270000</v>
      </c>
      <c r="AX38" s="38" t="n">
        <f aca="false">AQ38/$AW38</f>
        <v>0.254212228484346</v>
      </c>
      <c r="AY38" s="38" t="n">
        <f aca="false">AR38/$AW38</f>
        <v>0.145845020980197</v>
      </c>
      <c r="AZ38" s="38" t="n">
        <f aca="false">AS38/$AW38</f>
        <v>0.0382030332801967</v>
      </c>
      <c r="BA38" s="38" t="n">
        <f aca="false">AT38/$AW38</f>
        <v>0.0547465452001967</v>
      </c>
      <c r="BB38" s="38" t="n">
        <f aca="false">AU38/$AW38</f>
        <v>0.296773484380197</v>
      </c>
    </row>
    <row r="39" customFormat="false" ht="20.25" hidden="false" customHeight="false" outlineLevel="0" collapsed="false">
      <c r="A39" s="17" t="s">
        <v>93</v>
      </c>
      <c r="B39" s="18" t="s">
        <v>42</v>
      </c>
      <c r="C39" s="19" t="s">
        <v>43</v>
      </c>
      <c r="D39" s="54"/>
      <c r="E39" s="55"/>
      <c r="F39" s="56"/>
      <c r="G39" s="57"/>
      <c r="H39" s="55"/>
      <c r="I39" s="56"/>
      <c r="J39" s="57"/>
      <c r="K39" s="58"/>
      <c r="L39" s="55"/>
      <c r="M39" s="59"/>
      <c r="N39" s="60"/>
      <c r="W39" s="42"/>
      <c r="X39" s="42"/>
      <c r="Y39" s="42"/>
      <c r="AP39" s="25" t="n">
        <v>280000</v>
      </c>
      <c r="AQ39" s="38" t="n">
        <f aca="false">AQ$6+AE$9*$AP39</f>
        <v>70958.3126426782</v>
      </c>
      <c r="AR39" s="38" t="n">
        <f aca="false">AR$6+AG$10*$AP39</f>
        <v>40492.2276106531</v>
      </c>
      <c r="AS39" s="38" t="n">
        <f aca="false">AS$6+AI$11*$AP39</f>
        <v>10352.4710546531</v>
      </c>
      <c r="AT39" s="38" t="n">
        <f aca="false">AT$6+AK$12*$AP39</f>
        <v>14984.6543922531</v>
      </c>
      <c r="AU39" s="38" t="n">
        <f aca="false">AU$6+AM$13*$AP39</f>
        <v>82752.1973626531</v>
      </c>
      <c r="AV39" s="38"/>
      <c r="AW39" s="25" t="n">
        <f aca="false">AP39</f>
        <v>280000</v>
      </c>
      <c r="AX39" s="38" t="n">
        <f aca="false">AQ39/$AW39</f>
        <v>0.253422545152422</v>
      </c>
      <c r="AY39" s="38" t="n">
        <f aca="false">AR39/$AW39</f>
        <v>0.144615098609475</v>
      </c>
      <c r="AZ39" s="38" t="n">
        <f aca="false">AS39/$AW39</f>
        <v>0.0369731109094754</v>
      </c>
      <c r="BA39" s="38" t="n">
        <f aca="false">AT39/$AW39</f>
        <v>0.0535166228294754</v>
      </c>
      <c r="BB39" s="38" t="n">
        <f aca="false">AU39/$AW39</f>
        <v>0.295543562009475</v>
      </c>
    </row>
    <row r="40" customFormat="false" ht="20.25" hidden="false" customHeight="false" outlineLevel="0" collapsed="false">
      <c r="A40" s="75" t="s">
        <v>94</v>
      </c>
      <c r="B40" s="34" t="n">
        <f aca="false">B7</f>
        <v>4.4</v>
      </c>
      <c r="C40" s="31" t="n">
        <f aca="false">B40/$B$4</f>
        <v>2.93333333333333E-005</v>
      </c>
      <c r="D40" s="61" t="s">
        <v>46</v>
      </c>
      <c r="E40" s="34" t="n">
        <f aca="false">Processes!H35</f>
        <v>1.83404686268</v>
      </c>
      <c r="F40" s="76" t="n">
        <f aca="false">E40*$C40</f>
        <v>5.37987079719467E-005</v>
      </c>
      <c r="G40" s="40" t="n">
        <f aca="false">F40/F$47</f>
        <v>1.35144762177611E-005</v>
      </c>
      <c r="H40" s="64" t="n">
        <f aca="false">Processes!G35</f>
        <v>1.1106367</v>
      </c>
      <c r="I40" s="65" t="n">
        <f aca="false">H40*$C40</f>
        <v>3.25786765333333E-005</v>
      </c>
      <c r="J40" s="40" t="n">
        <f aca="false">I40/I$47</f>
        <v>0.000122742467358856</v>
      </c>
      <c r="K40" s="66" t="n">
        <f aca="false">I40/F40*$B$2</f>
        <v>605.566151334368</v>
      </c>
      <c r="L40" s="64" t="n">
        <f aca="false">Processes!J35</f>
        <v>1.1236763</v>
      </c>
      <c r="M40" s="31" t="n">
        <f aca="false">L40*$C40</f>
        <v>3.29611714666667E-005</v>
      </c>
      <c r="N40" s="40" t="n">
        <f aca="false">M40/M$47</f>
        <v>0.000120730402751671</v>
      </c>
      <c r="AP40" s="25" t="n">
        <v>290000</v>
      </c>
      <c r="AQ40" s="38" t="n">
        <f aca="false">AQ$6+AE$9*$AP40</f>
        <v>73279.323594583</v>
      </c>
      <c r="AR40" s="38" t="n">
        <f aca="false">AR$6+AG$10*$AP40</f>
        <v>41606.2995566531</v>
      </c>
      <c r="AS40" s="38" t="n">
        <f aca="false">AS$6+AI$11*$AP40</f>
        <v>10390.1231236531</v>
      </c>
      <c r="AT40" s="38" t="n">
        <f aca="false">AT$6+AK$12*$AP40</f>
        <v>15187.7415804531</v>
      </c>
      <c r="AU40" s="38" t="n">
        <f aca="false">AU$6+AM$13*$AP40</f>
        <v>85375.5539426531</v>
      </c>
      <c r="AV40" s="38"/>
      <c r="AW40" s="25" t="n">
        <f aca="false">AP40</f>
        <v>290000</v>
      </c>
      <c r="AX40" s="38" t="n">
        <f aca="false">AQ40/$AW40</f>
        <v>0.252687322739941</v>
      </c>
      <c r="AY40" s="38" t="n">
        <f aca="false">AR40/$AW40</f>
        <v>0.143469998471218</v>
      </c>
      <c r="AZ40" s="38" t="n">
        <f aca="false">AS40/$AW40</f>
        <v>0.0358280107712176</v>
      </c>
      <c r="BA40" s="38" t="n">
        <f aca="false">AT40/$AW40</f>
        <v>0.0523715226912176</v>
      </c>
      <c r="BB40" s="38" t="n">
        <f aca="false">AU40/$AW40</f>
        <v>0.294398461871218</v>
      </c>
    </row>
    <row r="41" customFormat="false" ht="20.25" hidden="false" customHeight="false" outlineLevel="0" collapsed="false">
      <c r="A41" s="75" t="s">
        <v>95</v>
      </c>
      <c r="B41" s="34" t="n">
        <f aca="false">B14</f>
        <v>31.6</v>
      </c>
      <c r="C41" s="31" t="n">
        <f aca="false">B41/$B$4</f>
        <v>0.000210666666666667</v>
      </c>
      <c r="D41" s="61" t="s">
        <v>46</v>
      </c>
      <c r="E41" s="34" t="n">
        <f aca="false">Processes!H36</f>
        <v>0.270583557105</v>
      </c>
      <c r="F41" s="76" t="n">
        <f aca="false">E41*$C41</f>
        <v>5.700293603012E-005</v>
      </c>
      <c r="G41" s="40" t="n">
        <f aca="false">F41/F$47</f>
        <v>1.43193926464427E-005</v>
      </c>
      <c r="H41" s="64" t="n">
        <f aca="false">Processes!G36</f>
        <v>0.011153419</v>
      </c>
      <c r="I41" s="65" t="n">
        <f aca="false">H41*$C41</f>
        <v>2.34965360266667E-006</v>
      </c>
      <c r="J41" s="40" t="n">
        <f aca="false">I41/I$47</f>
        <v>8.85248608349235E-006</v>
      </c>
      <c r="K41" s="66" t="n">
        <f aca="false">I41/F41*$B$2</f>
        <v>41.2198698225847</v>
      </c>
      <c r="L41" s="64" t="n">
        <f aca="false">Processes!J36</f>
        <v>0.013427409</v>
      </c>
      <c r="M41" s="31" t="n">
        <f aca="false">L41*$C41</f>
        <v>2.828707496E-006</v>
      </c>
      <c r="N41" s="40" t="n">
        <f aca="false">M41/M$47</f>
        <v>1.03610090316152E-005</v>
      </c>
      <c r="AP41" s="25" t="n">
        <v>300000</v>
      </c>
      <c r="AQ41" s="38" t="n">
        <f aca="false">AQ$6+AE$9*$AP41</f>
        <v>75600.3345464878</v>
      </c>
      <c r="AR41" s="38" t="n">
        <f aca="false">AR$6+AG$10*$AP41</f>
        <v>42720.3715026531</v>
      </c>
      <c r="AS41" s="38" t="n">
        <f aca="false">AS$6+AI$11*$AP41</f>
        <v>10427.7751926531</v>
      </c>
      <c r="AT41" s="38" t="n">
        <f aca="false">AT$6+AK$12*$AP41</f>
        <v>15390.8287686531</v>
      </c>
      <c r="AU41" s="38" t="n">
        <f aca="false">AU$6+AM$13*$AP41</f>
        <v>87998.9105226531</v>
      </c>
      <c r="AV41" s="38"/>
      <c r="AW41" s="25" t="n">
        <f aca="false">AP41</f>
        <v>300000</v>
      </c>
      <c r="AX41" s="38" t="n">
        <f aca="false">AQ41/$AW41</f>
        <v>0.252001115154959</v>
      </c>
      <c r="AY41" s="38" t="n">
        <f aca="false">AR41/$AW41</f>
        <v>0.142401238342177</v>
      </c>
      <c r="AZ41" s="38" t="n">
        <f aca="false">AS41/$AW41</f>
        <v>0.034759250642177</v>
      </c>
      <c r="BA41" s="38" t="n">
        <f aca="false">AT41/$AW41</f>
        <v>0.051302762562177</v>
      </c>
      <c r="BB41" s="38" t="n">
        <f aca="false">AU41/$AW41</f>
        <v>0.293329701742177</v>
      </c>
    </row>
    <row r="42" customFormat="false" ht="20.25" hidden="false" customHeight="false" outlineLevel="0" collapsed="false">
      <c r="A42" s="75" t="s">
        <v>96</v>
      </c>
      <c r="B42" s="34" t="n">
        <v>68.3</v>
      </c>
      <c r="C42" s="31" t="n">
        <f aca="false">B42/$B$4</f>
        <v>0.000455333333333333</v>
      </c>
      <c r="D42" s="61" t="s">
        <v>46</v>
      </c>
      <c r="E42" s="34" t="n">
        <f aca="false">Processes!H37</f>
        <v>0.483319734847</v>
      </c>
      <c r="F42" s="76" t="n">
        <f aca="false">E42*$C42</f>
        <v>0.000220071585933667</v>
      </c>
      <c r="G42" s="40" t="n">
        <f aca="false">F42/F$47</f>
        <v>5.52829673131999E-005</v>
      </c>
      <c r="H42" s="64" t="n">
        <f aca="false">Processes!G37</f>
        <v>2.3345751</v>
      </c>
      <c r="I42" s="65" t="n">
        <f aca="false">H42*$C42</f>
        <v>0.0010630098622</v>
      </c>
      <c r="J42" s="40" t="n">
        <f aca="false">I42/I$47</f>
        <v>0.00400496481739296</v>
      </c>
      <c r="K42" s="77" t="n">
        <f aca="false">I42/F42*$B$2</f>
        <v>4830.29127858608</v>
      </c>
      <c r="L42" s="64" t="n">
        <f aca="false">Processes!J37</f>
        <v>2.3458359</v>
      </c>
      <c r="M42" s="31" t="n">
        <f aca="false">L42*$C42</f>
        <v>0.0010681372798</v>
      </c>
      <c r="N42" s="40" t="n">
        <f aca="false">M42/M$47</f>
        <v>0.00391238048425376</v>
      </c>
      <c r="AP42" s="25" t="n">
        <v>310000</v>
      </c>
      <c r="AQ42" s="38" t="n">
        <f aca="false">AQ$6+AE$9*$AP42</f>
        <v>77921.3454983925</v>
      </c>
      <c r="AR42" s="38" t="n">
        <f aca="false">AR$6+AG$10*$AP42</f>
        <v>43834.4434486531</v>
      </c>
      <c r="AS42" s="38" t="n">
        <f aca="false">AS$6+AI$11*$AP42</f>
        <v>10465.4272616531</v>
      </c>
      <c r="AT42" s="38" t="n">
        <f aca="false">AT$6+AK$12*$AP42</f>
        <v>15593.9159568531</v>
      </c>
      <c r="AU42" s="38" t="n">
        <f aca="false">AU$6+AM$13*$AP42</f>
        <v>90622.2671026531</v>
      </c>
      <c r="AV42" s="38"/>
      <c r="AW42" s="25" t="n">
        <f aca="false">AP42</f>
        <v>310000</v>
      </c>
      <c r="AX42" s="38" t="n">
        <f aca="false">AQ42/$AW42</f>
        <v>0.251359179027073</v>
      </c>
      <c r="AY42" s="38" t="n">
        <f aca="false">AR42/$AW42</f>
        <v>0.141401430479526</v>
      </c>
      <c r="AZ42" s="38" t="n">
        <f aca="false">AS42/$AW42</f>
        <v>0.0337594427795261</v>
      </c>
      <c r="BA42" s="38" t="n">
        <f aca="false">AT42/$AW42</f>
        <v>0.0503029546995261</v>
      </c>
      <c r="BB42" s="38" t="n">
        <f aca="false">AU42/$AW42</f>
        <v>0.292329893879526</v>
      </c>
    </row>
    <row r="43" customFormat="false" ht="20.25" hidden="false" customHeight="false" outlineLevel="0" collapsed="false">
      <c r="A43" s="75" t="s">
        <v>97</v>
      </c>
      <c r="B43" s="34" t="n">
        <f aca="false">B30</f>
        <v>6.2</v>
      </c>
      <c r="C43" s="31" t="n">
        <f aca="false">B43/$B$4</f>
        <v>4.13333333333333E-005</v>
      </c>
      <c r="D43" s="61" t="s">
        <v>46</v>
      </c>
      <c r="E43" s="34" t="n">
        <f aca="false">Processes!H38</f>
        <v>1.67708135731</v>
      </c>
      <c r="F43" s="76" t="n">
        <f aca="false">E43*$C43</f>
        <v>6.93193627688133E-005</v>
      </c>
      <c r="G43" s="40" t="n">
        <f aca="false">F43/F$47</f>
        <v>1.74133341651622E-005</v>
      </c>
      <c r="H43" s="64" t="n">
        <f aca="false">Processes!G38</f>
        <v>0.22211976</v>
      </c>
      <c r="I43" s="65" t="n">
        <f aca="false">H43*$C43</f>
        <v>9.18095008E-006</v>
      </c>
      <c r="J43" s="40" t="n">
        <f aca="false">I43/I$47</f>
        <v>3.45898785779309E-005</v>
      </c>
      <c r="K43" s="77" t="n">
        <f aca="false">I43/F43*$B$2</f>
        <v>132.444236549308</v>
      </c>
      <c r="L43" s="64" t="n">
        <f aca="false">Processes!J38</f>
        <v>0.23252513</v>
      </c>
      <c r="M43" s="31" t="n">
        <f aca="false">L43*$C43</f>
        <v>9.61103870666667E-006</v>
      </c>
      <c r="N43" s="40" t="n">
        <f aca="false">M43/M$47</f>
        <v>3.52033778620767E-005</v>
      </c>
      <c r="AP43" s="25" t="n">
        <v>320000</v>
      </c>
      <c r="AQ43" s="38" t="n">
        <f aca="false">AQ$6+AE$9*$AP43</f>
        <v>80242.3564502973</v>
      </c>
      <c r="AR43" s="38" t="n">
        <f aca="false">AR$6+AG$10*$AP43</f>
        <v>44948.5153946531</v>
      </c>
      <c r="AS43" s="38" t="n">
        <f aca="false">AS$6+AI$11*$AP43</f>
        <v>10503.0793306531</v>
      </c>
      <c r="AT43" s="38" t="n">
        <f aca="false">AT$6+AK$12*$AP43</f>
        <v>15797.0031450531</v>
      </c>
      <c r="AU43" s="38" t="n">
        <f aca="false">AU$6+AM$13*$AP43</f>
        <v>93245.6236826531</v>
      </c>
      <c r="AV43" s="38"/>
      <c r="AW43" s="25" t="n">
        <f aca="false">AP43</f>
        <v>320000</v>
      </c>
      <c r="AX43" s="38" t="n">
        <f aca="false">AQ43/$AW43</f>
        <v>0.250757363907179</v>
      </c>
      <c r="AY43" s="38" t="n">
        <f aca="false">AR43/$AW43</f>
        <v>0.140464110608291</v>
      </c>
      <c r="AZ43" s="38" t="n">
        <f aca="false">AS43/$AW43</f>
        <v>0.0328221229082909</v>
      </c>
      <c r="BA43" s="38" t="n">
        <f aca="false">AT43/$AW43</f>
        <v>0.0493656348282909</v>
      </c>
      <c r="BB43" s="38" t="n">
        <f aca="false">AU43/$AW43</f>
        <v>0.291392574008291</v>
      </c>
    </row>
    <row r="44" customFormat="false" ht="20.25" hidden="false" customHeight="false" outlineLevel="0" collapsed="false">
      <c r="A44" s="75" t="s">
        <v>98</v>
      </c>
      <c r="B44" s="34" t="n">
        <f aca="false">B8</f>
        <v>54.4</v>
      </c>
      <c r="C44" s="31" t="n">
        <f aca="false">B44/$B$4</f>
        <v>0.000362666666666667</v>
      </c>
      <c r="D44" s="61" t="s">
        <v>46</v>
      </c>
      <c r="E44" s="34"/>
      <c r="F44" s="76"/>
      <c r="G44" s="40"/>
      <c r="H44" s="64"/>
      <c r="I44" s="65"/>
      <c r="J44" s="40"/>
      <c r="K44" s="77"/>
      <c r="L44" s="64"/>
      <c r="M44" s="31"/>
      <c r="N44" s="40"/>
      <c r="AP44" s="25" t="n">
        <v>330000</v>
      </c>
      <c r="AQ44" s="38" t="n">
        <f aca="false">AQ$6+AE$9*$AP44</f>
        <v>82563.367402202</v>
      </c>
      <c r="AR44" s="38" t="n">
        <f aca="false">AR$6+AG$10*$AP44</f>
        <v>46062.5873406531</v>
      </c>
      <c r="AS44" s="38" t="n">
        <f aca="false">AS$6+AI$11*$AP44</f>
        <v>10540.7313996531</v>
      </c>
      <c r="AT44" s="38" t="n">
        <f aca="false">AT$6+AK$12*$AP44</f>
        <v>16000.0903332531</v>
      </c>
      <c r="AU44" s="38" t="n">
        <f aca="false">AU$6+AM$13*$AP44</f>
        <v>95868.9802626531</v>
      </c>
      <c r="AV44" s="38"/>
      <c r="AW44" s="25" t="n">
        <f aca="false">AP44</f>
        <v>330000</v>
      </c>
      <c r="AX44" s="38" t="n">
        <f aca="false">AQ44/$AW44</f>
        <v>0.250192022430915</v>
      </c>
      <c r="AY44" s="38" t="n">
        <f aca="false">AR44/$AW44</f>
        <v>0.139583598001979</v>
      </c>
      <c r="AZ44" s="38" t="n">
        <f aca="false">AS44/$AW44</f>
        <v>0.0319416103019791</v>
      </c>
      <c r="BA44" s="38" t="n">
        <f aca="false">AT44/$AW44</f>
        <v>0.0484851222219791</v>
      </c>
      <c r="BB44" s="38" t="n">
        <f aca="false">AU44/$AW44</f>
        <v>0.290512061401979</v>
      </c>
    </row>
    <row r="45" customFormat="false" ht="20.25" hidden="false" customHeight="false" outlineLevel="0" collapsed="false">
      <c r="A45" s="75" t="s">
        <v>99</v>
      </c>
      <c r="B45" s="34" t="n">
        <f aca="false">B24+B18+B9+B30+B10</f>
        <v>1070.9</v>
      </c>
      <c r="C45" s="31" t="n">
        <f aca="false">B45/$B$4</f>
        <v>0.00713933333333333</v>
      </c>
      <c r="D45" s="61" t="s">
        <v>46</v>
      </c>
      <c r="E45" s="32"/>
      <c r="F45" s="76"/>
      <c r="G45" s="40"/>
      <c r="H45" s="34"/>
      <c r="I45" s="31"/>
      <c r="J45" s="40"/>
      <c r="K45" s="35"/>
      <c r="L45" s="34"/>
      <c r="M45" s="31"/>
      <c r="N45" s="40"/>
      <c r="AP45" s="25" t="n">
        <v>340000</v>
      </c>
      <c r="AQ45" s="38" t="n">
        <f aca="false">AQ$6+AE$9*$AP45</f>
        <v>84884.3783541068</v>
      </c>
      <c r="AR45" s="38" t="n">
        <f aca="false">AR$6+AG$10*$AP45</f>
        <v>47176.6592866531</v>
      </c>
      <c r="AS45" s="38" t="n">
        <f aca="false">AS$6+AI$11*$AP45</f>
        <v>10578.3834686531</v>
      </c>
      <c r="AT45" s="38" t="n">
        <f aca="false">AT$6+AK$12*$AP45</f>
        <v>16203.1775214531</v>
      </c>
      <c r="AU45" s="38" t="n">
        <f aca="false">AU$6+AM$13*$AP45</f>
        <v>98492.3368426531</v>
      </c>
      <c r="AV45" s="38"/>
      <c r="AW45" s="25" t="n">
        <f aca="false">AP45</f>
        <v>340000</v>
      </c>
      <c r="AX45" s="38" t="n">
        <f aca="false">AQ45/$AW45</f>
        <v>0.249659936335608</v>
      </c>
      <c r="AY45" s="38" t="n">
        <f aca="false">AR45/$AW45</f>
        <v>0.138754880254862</v>
      </c>
      <c r="AZ45" s="38" t="n">
        <f aca="false">AS45/$AW45</f>
        <v>0.0311128925548621</v>
      </c>
      <c r="BA45" s="38" t="n">
        <f aca="false">AT45/$AW45</f>
        <v>0.0476564044748621</v>
      </c>
      <c r="BB45" s="38" t="n">
        <f aca="false">AU45/$AW45</f>
        <v>0.289683343654862</v>
      </c>
    </row>
    <row r="46" customFormat="false" ht="20.25" hidden="false" customHeight="false" outlineLevel="0" collapsed="false">
      <c r="A46" s="17" t="s">
        <v>100</v>
      </c>
      <c r="B46" s="78"/>
      <c r="C46" s="19" t="s">
        <v>43</v>
      </c>
      <c r="D46" s="54"/>
      <c r="E46" s="79"/>
      <c r="F46" s="80"/>
      <c r="G46" s="57"/>
      <c r="H46" s="55"/>
      <c r="I46" s="55"/>
      <c r="J46" s="57"/>
      <c r="K46" s="58"/>
      <c r="L46" s="59"/>
      <c r="M46" s="59"/>
      <c r="N46" s="60"/>
      <c r="AP46" s="46" t="n">
        <v>350000</v>
      </c>
      <c r="AQ46" s="81" t="n">
        <f aca="false">AQ$6+AE$9*$AP46</f>
        <v>87205.3893060116</v>
      </c>
      <c r="AR46" s="81" t="n">
        <f aca="false">AR$6+AG$10*$AP46</f>
        <v>48290.7312326531</v>
      </c>
      <c r="AS46" s="81" t="n">
        <f aca="false">AS$6+AI$11*$AP46</f>
        <v>10616.0355376531</v>
      </c>
      <c r="AT46" s="81" t="n">
        <f aca="false">AT$6+AK$12*$AP46</f>
        <v>16406.2647096531</v>
      </c>
      <c r="AU46" s="81" t="n">
        <f aca="false">AU$6+AM$13*$AP46</f>
        <v>101115.693422653</v>
      </c>
      <c r="AV46" s="38"/>
      <c r="AW46" s="46" t="n">
        <f aca="false">AP46</f>
        <v>350000</v>
      </c>
      <c r="AX46" s="81" t="n">
        <f aca="false">AQ46/$AW46</f>
        <v>0.249158255160033</v>
      </c>
      <c r="AY46" s="81" t="n">
        <f aca="false">AR46/$AW46</f>
        <v>0.13797351780758</v>
      </c>
      <c r="AZ46" s="81" t="n">
        <f aca="false">AS46/$AW46</f>
        <v>0.0303315301075803</v>
      </c>
      <c r="BA46" s="81" t="n">
        <f aca="false">AT46/$AW46</f>
        <v>0.0468750420275803</v>
      </c>
      <c r="BB46" s="81" t="n">
        <f aca="false">AU46/$AW46</f>
        <v>0.28890198120758</v>
      </c>
    </row>
    <row r="47" customFormat="false" ht="20.25" hidden="false" customHeight="false" outlineLevel="0" collapsed="false">
      <c r="A47" s="30" t="s">
        <v>100</v>
      </c>
      <c r="B47" s="34" t="s">
        <v>101</v>
      </c>
      <c r="C47" s="2"/>
      <c r="D47" s="61" t="s">
        <v>101</v>
      </c>
      <c r="E47" s="82"/>
      <c r="F47" s="83" t="n">
        <f aca="false">SUM(F7:F43)</f>
        <v>3.98082079579547</v>
      </c>
      <c r="G47" s="40" t="n">
        <f aca="false">F47/F$47</f>
        <v>1</v>
      </c>
      <c r="H47" s="34"/>
      <c r="I47" s="84" t="n">
        <f aca="false">SUM(I7:I43)</f>
        <v>0.265423021341788</v>
      </c>
      <c r="J47" s="40" t="n">
        <f aca="false">I47/I$47</f>
        <v>1</v>
      </c>
      <c r="K47" s="35" t="n">
        <f aca="false">I47/F47*$B$2</f>
        <v>66.6754508573022</v>
      </c>
      <c r="L47" s="50"/>
      <c r="M47" s="84" t="n">
        <f aca="false">SUM(M7:M43)</f>
        <v>0.273014673316912</v>
      </c>
      <c r="N47" s="40" t="n">
        <f aca="false">M47/M$47</f>
        <v>1</v>
      </c>
    </row>
    <row r="48" customFormat="false" ht="20.25" hidden="false" customHeight="false" outlineLevel="0" collapsed="false">
      <c r="A48" s="30"/>
      <c r="B48" s="34"/>
      <c r="C48" s="2"/>
      <c r="D48" s="61"/>
      <c r="E48" s="82"/>
      <c r="F48" s="62"/>
      <c r="G48" s="40"/>
      <c r="H48" s="31"/>
      <c r="I48" s="2"/>
      <c r="J48" s="40"/>
      <c r="K48" s="35"/>
      <c r="L48" s="31" t="n">
        <v>8.3E-007</v>
      </c>
      <c r="M48" s="31" t="n">
        <f aca="false">M47*'Gasoline and electric vehicles'!$L48</f>
        <v>2.26602178853037E-007</v>
      </c>
      <c r="N48" s="40"/>
    </row>
    <row r="49" customFormat="false" ht="20.25" hidden="false" customHeight="false" outlineLevel="0" collapsed="false">
      <c r="A49" s="85"/>
      <c r="B49" s="86"/>
      <c r="C49" s="87"/>
      <c r="D49" s="88"/>
      <c r="E49" s="89"/>
      <c r="F49" s="90"/>
      <c r="G49" s="91"/>
      <c r="H49" s="87"/>
      <c r="I49" s="87"/>
      <c r="J49" s="91"/>
      <c r="K49" s="92"/>
      <c r="L49" s="87" t="s">
        <v>102</v>
      </c>
      <c r="M49" s="87" t="s">
        <v>103</v>
      </c>
      <c r="N49" s="91"/>
    </row>
    <row r="50" customFormat="false" ht="20.25" hidden="false" customHeight="false" outlineLevel="0" collapsed="false">
      <c r="C50" s="2"/>
      <c r="D50" s="2"/>
      <c r="E50" s="2"/>
      <c r="F50" s="93"/>
      <c r="G50" s="94"/>
      <c r="H50" s="2"/>
      <c r="I50" s="2"/>
      <c r="J50" s="94"/>
      <c r="K50" s="50"/>
      <c r="L50" s="2"/>
      <c r="M50" s="2"/>
      <c r="N50" s="94"/>
      <c r="AQ50" s="39"/>
      <c r="AR50" s="39"/>
      <c r="AS50" s="39"/>
      <c r="AT50" s="39"/>
      <c r="AU50" s="39"/>
      <c r="AV50" s="39"/>
      <c r="AX50" s="39"/>
      <c r="AY50" s="39"/>
      <c r="AZ50" s="39"/>
      <c r="BA50" s="39"/>
      <c r="BB50" s="39"/>
    </row>
    <row r="51" customFormat="false" ht="20.25" hidden="false" customHeight="false" outlineLevel="0" collapsed="false">
      <c r="A51" s="5" t="s">
        <v>15</v>
      </c>
      <c r="B51" s="6" t="n">
        <v>225000</v>
      </c>
      <c r="D51" s="2"/>
      <c r="E51" s="2"/>
      <c r="F51" s="93"/>
      <c r="G51" s="2"/>
      <c r="H51" s="2"/>
      <c r="I51" s="2"/>
      <c r="J51" s="2"/>
    </row>
    <row r="52" customFormat="false" ht="55.25" hidden="false" customHeight="false" outlineLevel="0" collapsed="false">
      <c r="A52" s="9" t="s">
        <v>104</v>
      </c>
      <c r="B52" s="10" t="s">
        <v>18</v>
      </c>
      <c r="C52" s="11" t="s">
        <v>19</v>
      </c>
      <c r="D52" s="12" t="s">
        <v>20</v>
      </c>
      <c r="E52" s="11" t="s">
        <v>21</v>
      </c>
      <c r="F52" s="13" t="s">
        <v>22</v>
      </c>
      <c r="G52" s="14" t="s">
        <v>23</v>
      </c>
      <c r="H52" s="11" t="s">
        <v>24</v>
      </c>
      <c r="I52" s="11" t="s">
        <v>105</v>
      </c>
      <c r="J52" s="14" t="s">
        <v>26</v>
      </c>
      <c r="K52" s="15" t="s">
        <v>27</v>
      </c>
      <c r="L52" s="95" t="s">
        <v>28</v>
      </c>
      <c r="M52" s="11" t="s">
        <v>29</v>
      </c>
      <c r="N52" s="16" t="s">
        <v>30</v>
      </c>
    </row>
    <row r="53" customFormat="false" ht="20.25" hidden="false" customHeight="false" outlineLevel="0" collapsed="false">
      <c r="A53" s="17" t="s">
        <v>41</v>
      </c>
      <c r="B53" s="19" t="s">
        <v>42</v>
      </c>
      <c r="C53" s="21"/>
      <c r="D53" s="20"/>
      <c r="E53" s="21"/>
      <c r="F53" s="22"/>
      <c r="G53" s="23"/>
      <c r="H53" s="21"/>
      <c r="I53" s="21"/>
      <c r="J53" s="23"/>
      <c r="K53" s="96"/>
      <c r="L53" s="97"/>
      <c r="M53" s="98"/>
      <c r="N53" s="99"/>
    </row>
    <row r="54" customFormat="false" ht="20.25" hidden="false" customHeight="false" outlineLevel="0" collapsed="false">
      <c r="A54" s="30" t="s">
        <v>45</v>
      </c>
      <c r="B54" s="2" t="n">
        <v>4.2</v>
      </c>
      <c r="C54" s="31" t="n">
        <f aca="false">B54/$B$51</f>
        <v>1.86666666666667E-005</v>
      </c>
      <c r="D54" s="65" t="s">
        <v>46</v>
      </c>
      <c r="E54" s="34" t="n">
        <f aca="false">Processes!H4</f>
        <v>61.9127077</v>
      </c>
      <c r="F54" s="31" t="n">
        <f aca="false">E54*$C54</f>
        <v>0.00115570387706667</v>
      </c>
      <c r="G54" s="33" t="n">
        <f aca="false">F54/F$86</f>
        <v>0.000392111521328762</v>
      </c>
      <c r="H54" s="34" t="n">
        <f aca="false">Processes!G4</f>
        <v>4.8913828</v>
      </c>
      <c r="I54" s="31" t="n">
        <f aca="false">H54*$C54</f>
        <v>9.13058122666667E-005</v>
      </c>
      <c r="J54" s="40" t="n">
        <f aca="false">I54/I$47</f>
        <v>0.000344001103615995</v>
      </c>
      <c r="K54" s="35" t="n">
        <f aca="false">I54/F54*$B$2</f>
        <v>79.0045045954273</v>
      </c>
      <c r="L54" s="34" t="n">
        <f aca="false">Processes!J4</f>
        <v>5.4372182</v>
      </c>
      <c r="M54" s="65" t="n">
        <f aca="false">L54*$C54</f>
        <v>0.000101494739733333</v>
      </c>
      <c r="N54" s="33" t="n">
        <f aca="false">M54/M$86</f>
        <v>0.000660171659629711</v>
      </c>
    </row>
    <row r="55" customFormat="false" ht="20.25" hidden="false" customHeight="false" outlineLevel="0" collapsed="false">
      <c r="A55" s="75" t="s">
        <v>106</v>
      </c>
      <c r="B55" s="2" t="n">
        <v>82</v>
      </c>
      <c r="C55" s="31" t="n">
        <f aca="false">B55/$B$51</f>
        <v>0.000364444444444444</v>
      </c>
      <c r="D55" s="65" t="s">
        <v>46</v>
      </c>
      <c r="E55" s="34" t="n">
        <f aca="false">Processes!H26</f>
        <v>114.566604899</v>
      </c>
      <c r="F55" s="31" t="n">
        <f aca="false">E55*$C55</f>
        <v>0.0417531626743022</v>
      </c>
      <c r="G55" s="40" t="n">
        <f aca="false">F55/F$86</f>
        <v>0.0141661687404407</v>
      </c>
      <c r="H55" s="34" t="n">
        <f aca="false">Processes!G26</f>
        <v>7.0482569</v>
      </c>
      <c r="I55" s="31" t="n">
        <f aca="false">H55*$C55</f>
        <v>0.00256869807022222</v>
      </c>
      <c r="J55" s="40" t="n">
        <f aca="false">I55/I$86</f>
        <v>0.0181661751426647</v>
      </c>
      <c r="K55" s="35" t="n">
        <f aca="false">I55/F55*$B$2</f>
        <v>61.521041897101</v>
      </c>
      <c r="L55" s="34" t="n">
        <f aca="false">Processes!J26</f>
        <v>8.1666348</v>
      </c>
      <c r="M55" s="65" t="n">
        <f aca="false">L55*$C55</f>
        <v>0.00297628468266667</v>
      </c>
      <c r="N55" s="40" t="n">
        <f aca="false">M55/M$86</f>
        <v>0.0193592180604532</v>
      </c>
    </row>
    <row r="56" customFormat="false" ht="20.25" hidden="false" customHeight="false" outlineLevel="0" collapsed="false">
      <c r="A56" s="75" t="s">
        <v>107</v>
      </c>
      <c r="B56" s="2" t="n">
        <v>287.1</v>
      </c>
      <c r="C56" s="31" t="n">
        <f aca="false">B56/$B$51</f>
        <v>0.001276</v>
      </c>
      <c r="D56" s="65" t="s">
        <v>46</v>
      </c>
      <c r="E56" s="34" t="n">
        <f aca="false">Processes!H7</f>
        <v>74.579202517</v>
      </c>
      <c r="F56" s="31" t="n">
        <f aca="false">E56*$C56</f>
        <v>0.095163062411692</v>
      </c>
      <c r="G56" s="40" t="n">
        <f aca="false">F56/F$86</f>
        <v>0.0322872787026222</v>
      </c>
      <c r="H56" s="34" t="n">
        <f aca="false">Processes!G7</f>
        <v>5.1792783</v>
      </c>
      <c r="I56" s="31" t="n">
        <f aca="false">H56*$C56</f>
        <v>0.0066087591108</v>
      </c>
      <c r="J56" s="40" t="n">
        <f aca="false">I56/I$86</f>
        <v>0.0467380253344013</v>
      </c>
      <c r="K56" s="35" t="n">
        <f aca="false">I56/F56*$B$2</f>
        <v>69.4466838636335</v>
      </c>
      <c r="L56" s="34" t="n">
        <f aca="false">Processes!J7</f>
        <v>5.8649728</v>
      </c>
      <c r="M56" s="65" t="n">
        <f aca="false">L56*$C56</f>
        <v>0.0074837052928</v>
      </c>
      <c r="N56" s="40" t="n">
        <f aca="false">M56/M$86</f>
        <v>0.0486776965614981</v>
      </c>
    </row>
    <row r="57" customFormat="false" ht="20.25" hidden="false" customHeight="false" outlineLevel="0" collapsed="false">
      <c r="A57" s="75" t="s">
        <v>108</v>
      </c>
      <c r="B57" s="2" t="n">
        <v>23.3</v>
      </c>
      <c r="C57" s="31" t="n">
        <f aca="false">B57/$B$51</f>
        <v>0.000103555555555556</v>
      </c>
      <c r="D57" s="65" t="s">
        <v>46</v>
      </c>
      <c r="E57" s="34" t="n">
        <f aca="false">Processes!H8</f>
        <v>448.247294359</v>
      </c>
      <c r="F57" s="31" t="n">
        <f aca="false">E57*$C57</f>
        <v>0.0464184975936209</v>
      </c>
      <c r="G57" s="40" t="n">
        <f aca="false">F57/F$86</f>
        <v>0.0157490409701033</v>
      </c>
      <c r="H57" s="34" t="n">
        <f aca="false">Processes!G8</f>
        <v>27.933745</v>
      </c>
      <c r="I57" s="31" t="n">
        <f aca="false">H57*$C57</f>
        <v>0.00289269448222222</v>
      </c>
      <c r="J57" s="40" t="n">
        <f aca="false">I57/I$86</f>
        <v>0.0204575209548558</v>
      </c>
      <c r="K57" s="35" t="n">
        <f aca="false">I57/F57*$B$2</f>
        <v>62.317710227221</v>
      </c>
      <c r="L57" s="34" t="n">
        <f aca="false">Processes!J8</f>
        <v>31.49787</v>
      </c>
      <c r="M57" s="65" t="n">
        <f aca="false">L57*$C57</f>
        <v>0.00326177942666667</v>
      </c>
      <c r="N57" s="40" t="n">
        <f aca="false">M57/M$86</f>
        <v>0.0212162161616083</v>
      </c>
    </row>
    <row r="58" customFormat="false" ht="20.25" hidden="false" customHeight="false" outlineLevel="0" collapsed="false">
      <c r="A58" s="75" t="s">
        <v>58</v>
      </c>
      <c r="B58" s="2" t="n">
        <v>14.6</v>
      </c>
      <c r="C58" s="31" t="n">
        <f aca="false">B58/$B$51</f>
        <v>6.48888888888889E-005</v>
      </c>
      <c r="D58" s="65" t="s">
        <v>46</v>
      </c>
      <c r="E58" s="34" t="n">
        <f aca="false">Processes!H10</f>
        <v>49.87819620237</v>
      </c>
      <c r="F58" s="31" t="n">
        <f aca="false">E58*$C58</f>
        <v>0.00323654073135379</v>
      </c>
      <c r="G58" s="40" t="n">
        <f aca="false">F58/F$86</f>
        <v>0.00109810560922816</v>
      </c>
      <c r="H58" s="34" t="n">
        <f aca="false">Processes!G10</f>
        <v>1.2878908</v>
      </c>
      <c r="I58" s="31" t="n">
        <f aca="false">H58*$C58</f>
        <v>8.35698030222222E-005</v>
      </c>
      <c r="J58" s="40" t="n">
        <f aca="false">I58/I$86</f>
        <v>0.000591016786261822</v>
      </c>
      <c r="K58" s="35" t="n">
        <f aca="false">I58/F58*$B$2</f>
        <v>25.8207172283188</v>
      </c>
      <c r="L58" s="34" t="n">
        <f aca="false">Processes!J10</f>
        <v>1.5171342</v>
      </c>
      <c r="M58" s="65" t="n">
        <f aca="false">L58*$C58</f>
        <v>9.84451525333334E-005</v>
      </c>
      <c r="N58" s="40" t="n">
        <f aca="false">M58/M$86</f>
        <v>0.000640335645977189</v>
      </c>
    </row>
    <row r="59" customFormat="false" ht="20.25" hidden="false" customHeight="false" outlineLevel="0" collapsed="false">
      <c r="A59" s="75" t="s">
        <v>109</v>
      </c>
      <c r="B59" s="2" t="n">
        <v>162.9</v>
      </c>
      <c r="C59" s="31" t="n">
        <f aca="false">B59/$B$51</f>
        <v>0.000724</v>
      </c>
      <c r="D59" s="65" t="s">
        <v>46</v>
      </c>
      <c r="E59" s="34" t="n">
        <f aca="false">Processes!H27</f>
        <v>14.29748935796</v>
      </c>
      <c r="F59" s="31" t="n">
        <f aca="false">E59*$C59</f>
        <v>0.010351382295163</v>
      </c>
      <c r="G59" s="40" t="n">
        <f aca="false">F59/F$86</f>
        <v>0.00351205558807505</v>
      </c>
      <c r="H59" s="34" t="n">
        <f aca="false">Processes!G27</f>
        <v>0.96734296</v>
      </c>
      <c r="I59" s="31" t="n">
        <f aca="false">H59*$C59</f>
        <v>0.00070035630304</v>
      </c>
      <c r="J59" s="40" t="n">
        <f aca="false">I59/I$86</f>
        <v>0.00495301312785007</v>
      </c>
      <c r="K59" s="35" t="n">
        <f aca="false">I59/F59*$B$2</f>
        <v>67.6582395538865</v>
      </c>
      <c r="L59" s="34" t="n">
        <f aca="false">Processes!J27</f>
        <v>1.0782862</v>
      </c>
      <c r="M59" s="65" t="n">
        <f aca="false">L59*$C59</f>
        <v>0.0007806792088</v>
      </c>
      <c r="N59" s="40" t="n">
        <f aca="false">M59/M$86</f>
        <v>0.00507792118356102</v>
      </c>
    </row>
    <row r="60" customFormat="false" ht="20.25" hidden="false" customHeight="false" outlineLevel="0" collapsed="false">
      <c r="A60" s="30" t="s">
        <v>60</v>
      </c>
      <c r="B60" s="2" t="n">
        <v>49</v>
      </c>
      <c r="C60" s="31" t="n">
        <f aca="false">B60/$B$51</f>
        <v>0.000217777777777778</v>
      </c>
      <c r="D60" s="65" t="s">
        <v>46</v>
      </c>
      <c r="E60" s="34" t="n">
        <f aca="false">Processes!H11</f>
        <v>11.4369008899</v>
      </c>
      <c r="F60" s="31" t="n">
        <f aca="false">E60*$C60</f>
        <v>0.00249070286046711</v>
      </c>
      <c r="G60" s="40" t="n">
        <f aca="false">F60/F$86</f>
        <v>0.000845054954972104</v>
      </c>
      <c r="H60" s="34" t="n">
        <f aca="false">Processes!G11</f>
        <v>0.95946892</v>
      </c>
      <c r="I60" s="31" t="n">
        <f aca="false">H60*$C60</f>
        <v>0.000208951009244444</v>
      </c>
      <c r="J60" s="40" t="n">
        <f aca="false">I60/I$86</f>
        <v>0.00147772938913087</v>
      </c>
      <c r="K60" s="35" t="n">
        <f aca="false">I60/F60*$B$2</f>
        <v>83.8923873903037</v>
      </c>
      <c r="L60" s="34" t="n">
        <f aca="false">Processes!J11</f>
        <v>1.0141071</v>
      </c>
      <c r="M60" s="65" t="n">
        <f aca="false">L60*$C60</f>
        <v>0.000220849990666667</v>
      </c>
      <c r="N60" s="40" t="n">
        <f aca="false">M60/M$86</f>
        <v>0.00143651686038794</v>
      </c>
    </row>
    <row r="61" customFormat="false" ht="20.25" hidden="false" customHeight="false" outlineLevel="0" collapsed="false">
      <c r="A61" s="75" t="s">
        <v>110</v>
      </c>
      <c r="B61" s="2" t="n">
        <v>3.4</v>
      </c>
      <c r="C61" s="31" t="n">
        <f aca="false">B61/$B$51</f>
        <v>1.51111111111111E-005</v>
      </c>
      <c r="D61" s="65" t="s">
        <v>46</v>
      </c>
      <c r="E61" s="34" t="n">
        <f aca="false">Processes!H28</f>
        <v>65.30628573204</v>
      </c>
      <c r="F61" s="31" t="n">
        <f aca="false">E61*$C61</f>
        <v>0.000986850539950827</v>
      </c>
      <c r="G61" s="40" t="n">
        <f aca="false">F61/F$86</f>
        <v>0.000334822331414492</v>
      </c>
      <c r="H61" s="34" t="n">
        <f aca="false">Processes!G28</f>
        <v>1.0636347</v>
      </c>
      <c r="I61" s="31" t="n">
        <f aca="false">H61*$C61</f>
        <v>1.60727021333333E-005</v>
      </c>
      <c r="J61" s="40" t="n">
        <f aca="false">I61/I$86</f>
        <v>0.000113668291869256</v>
      </c>
      <c r="K61" s="35" t="n">
        <f aca="false">I61/F61*$B$2</f>
        <v>16.2868656221582</v>
      </c>
      <c r="L61" s="34" t="n">
        <f aca="false">Processes!J28</f>
        <v>1.1874221</v>
      </c>
      <c r="M61" s="65" t="n">
        <f aca="false">L61*$C61</f>
        <v>1.79432672888889E-005</v>
      </c>
      <c r="N61" s="40" t="n">
        <f aca="false">M61/M$86</f>
        <v>0.000116711827395276</v>
      </c>
    </row>
    <row r="62" customFormat="false" ht="20.25" hidden="false" customHeight="false" outlineLevel="0" collapsed="false">
      <c r="A62" s="30" t="s">
        <v>48</v>
      </c>
      <c r="B62" s="2" t="n">
        <v>76.5</v>
      </c>
      <c r="C62" s="31" t="n">
        <f aca="false">B62/$B$51</f>
        <v>0.00034</v>
      </c>
      <c r="D62" s="65" t="s">
        <v>46</v>
      </c>
      <c r="E62" s="34" t="n">
        <f aca="false">Processes!H5</f>
        <v>218.8957750817</v>
      </c>
      <c r="F62" s="31" t="n">
        <f aca="false">E62*$C62</f>
        <v>0.074424563527778</v>
      </c>
      <c r="G62" s="40" t="n">
        <f aca="false">F62/F$86</f>
        <v>0.0252510434620812</v>
      </c>
      <c r="H62" s="34" t="n">
        <f aca="false">Processes!G5</f>
        <v>19.24884</v>
      </c>
      <c r="I62" s="31" t="n">
        <f aca="false">H62*$C62</f>
        <v>0.0065446056</v>
      </c>
      <c r="J62" s="40" t="n">
        <f aca="false">I62/I$86</f>
        <v>0.0462843231547953</v>
      </c>
      <c r="K62" s="35" t="n">
        <f aca="false">I62/F62*$B$2</f>
        <v>87.9360964953098</v>
      </c>
      <c r="L62" s="34" t="n">
        <f aca="false">Processes!J5</f>
        <v>20.97429</v>
      </c>
      <c r="M62" s="65" t="n">
        <f aca="false">L62*$C62</f>
        <v>0.0071312586</v>
      </c>
      <c r="N62" s="40" t="n">
        <f aca="false">M62/M$86</f>
        <v>0.0463852100865526</v>
      </c>
    </row>
    <row r="63" customFormat="false" ht="20.25" hidden="false" customHeight="false" outlineLevel="0" collapsed="false">
      <c r="A63" s="75" t="s">
        <v>111</v>
      </c>
      <c r="B63" s="2" t="n">
        <v>953.4</v>
      </c>
      <c r="C63" s="31" t="n">
        <f aca="false">B63/$B$51</f>
        <v>0.00423733333333333</v>
      </c>
      <c r="D63" s="65" t="s">
        <v>46</v>
      </c>
      <c r="E63" s="34" t="n">
        <f aca="false">Processes!H30</f>
        <v>25.1902723749</v>
      </c>
      <c r="F63" s="31" t="n">
        <f aca="false">E63*$C63</f>
        <v>0.10673958080991</v>
      </c>
      <c r="G63" s="40" t="n">
        <f aca="false">F63/F$86</f>
        <v>0.0362150030365898</v>
      </c>
      <c r="H63" s="34" t="n">
        <f aca="false">Processes!G30</f>
        <v>1.4794537</v>
      </c>
      <c r="I63" s="31" t="n">
        <f aca="false">H63*$C63</f>
        <v>0.00626893847813333</v>
      </c>
      <c r="J63" s="40" t="n">
        <f aca="false">I63/I$86</f>
        <v>0.0443347685243942</v>
      </c>
      <c r="K63" s="35" t="n">
        <f aca="false">I63/F63*$B$2</f>
        <v>58.7311513738991</v>
      </c>
      <c r="L63" s="34" t="n">
        <f aca="false">Processes!J30</f>
        <v>1.6605252</v>
      </c>
      <c r="M63" s="65" t="n">
        <f aca="false">L63*$C63</f>
        <v>0.0070361987808</v>
      </c>
      <c r="N63" s="40" t="n">
        <f aca="false">M63/M$86</f>
        <v>0.0457668943120578</v>
      </c>
    </row>
    <row r="64" customFormat="false" ht="20.25" hidden="false" customHeight="false" outlineLevel="0" collapsed="false">
      <c r="A64" s="75" t="s">
        <v>112</v>
      </c>
      <c r="B64" s="2" t="n">
        <v>162.9</v>
      </c>
      <c r="C64" s="31" t="n">
        <f aca="false">B64/$B$51</f>
        <v>0.000724</v>
      </c>
      <c r="D64" s="65" t="s">
        <v>46</v>
      </c>
      <c r="E64" s="34" t="n">
        <f aca="false">Processes!H17</f>
        <v>77.07094285771</v>
      </c>
      <c r="F64" s="31" t="n">
        <f aca="false">E64*$C64</f>
        <v>0.055799362628982</v>
      </c>
      <c r="G64" s="40" t="n">
        <f aca="false">F64/F$86</f>
        <v>0.0189318158429638</v>
      </c>
      <c r="H64" s="34" t="n">
        <f aca="false">Processes!G17</f>
        <v>1.5167522</v>
      </c>
      <c r="I64" s="31" t="n">
        <f aca="false">H64*$C64</f>
        <v>0.0010981285928</v>
      </c>
      <c r="J64" s="40" t="n">
        <f aca="false">I64/I$86</f>
        <v>0.00776611178138463</v>
      </c>
      <c r="K64" s="35" t="n">
        <f aca="false">I64/F64*$B$2</f>
        <v>19.6799486779377</v>
      </c>
      <c r="L64" s="34" t="n">
        <f aca="false">Processes!J17</f>
        <v>1.9003221</v>
      </c>
      <c r="M64" s="65" t="n">
        <f aca="false">L64*$C64</f>
        <v>0.0013758332004</v>
      </c>
      <c r="N64" s="40" t="n">
        <f aca="false">M64/M$86</f>
        <v>0.00894909519122025</v>
      </c>
    </row>
    <row r="65" customFormat="false" ht="20.25" hidden="false" customHeight="false" outlineLevel="0" collapsed="false">
      <c r="A65" s="75" t="s">
        <v>113</v>
      </c>
      <c r="B65" s="2" t="n">
        <v>9.1</v>
      </c>
      <c r="C65" s="31" t="n">
        <f aca="false">B65/$B$51</f>
        <v>4.04444444444444E-005</v>
      </c>
      <c r="D65" s="65" t="s">
        <v>46</v>
      </c>
      <c r="E65" s="34" t="n">
        <f aca="false">Processes!H31</f>
        <v>121.667760299</v>
      </c>
      <c r="F65" s="31" t="n">
        <f aca="false">E65*$C65</f>
        <v>0.00492078497209289</v>
      </c>
      <c r="G65" s="40" t="n">
        <f aca="false">F65/F$86</f>
        <v>0.00166954227620693</v>
      </c>
      <c r="H65" s="34" t="n">
        <f aca="false">Processes!G31</f>
        <v>4.9718328</v>
      </c>
      <c r="I65" s="31" t="n">
        <f aca="false">H65*$C65</f>
        <v>0.000201083015466667</v>
      </c>
      <c r="J65" s="40" t="n">
        <f aca="false">I65/I$86</f>
        <v>0.00142208588838415</v>
      </c>
      <c r="K65" s="35" t="n">
        <f aca="false">I65/F65*$B$2</f>
        <v>40.8640118613317</v>
      </c>
      <c r="L65" s="34" t="n">
        <f aca="false">Processes!J31</f>
        <v>6.4054308</v>
      </c>
      <c r="M65" s="65" t="n">
        <f aca="false">L65*$C65</f>
        <v>0.000259064090133333</v>
      </c>
      <c r="N65" s="40" t="n">
        <f aca="false">M65/M$86</f>
        <v>0.0016850801409328</v>
      </c>
    </row>
    <row r="66" customFormat="false" ht="20.25" hidden="false" customHeight="false" outlineLevel="0" collapsed="false">
      <c r="A66" s="30" t="s">
        <v>74</v>
      </c>
      <c r="B66" s="2" t="n">
        <v>953.4</v>
      </c>
      <c r="C66" s="31" t="n">
        <f aca="false">B66/$B$51</f>
        <v>0.00423733333333333</v>
      </c>
      <c r="D66" s="65" t="s">
        <v>46</v>
      </c>
      <c r="E66" s="34" t="n">
        <f aca="false">Processes!H21</f>
        <v>25.22054101</v>
      </c>
      <c r="F66" s="31" t="n">
        <f aca="false">E66*$C66</f>
        <v>0.106867839106373</v>
      </c>
      <c r="G66" s="40" t="n">
        <f aca="false">F66/F$86</f>
        <v>0.0362585189897223</v>
      </c>
      <c r="H66" s="34" t="n">
        <f aca="false">Processes!G21</f>
        <v>1.9191216</v>
      </c>
      <c r="I66" s="31" t="n">
        <f aca="false">H66*$C66</f>
        <v>0.0081319579264</v>
      </c>
      <c r="J66" s="40" t="n">
        <f aca="false">I66/I$86</f>
        <v>0.0575102903904089</v>
      </c>
      <c r="K66" s="35" t="n">
        <f aca="false">I66/F66*$B$2</f>
        <v>76.093593679813</v>
      </c>
      <c r="L66" s="34" t="n">
        <f aca="false">Processes!J21</f>
        <v>2.2139538</v>
      </c>
      <c r="M66" s="65" t="n">
        <f aca="false">L66*$C66</f>
        <v>0.0093812602352</v>
      </c>
      <c r="N66" s="40" t="n">
        <f aca="false">M66/M$86</f>
        <v>0.0610203263258991</v>
      </c>
    </row>
    <row r="67" customFormat="false" ht="20.25" hidden="false" customHeight="false" outlineLevel="0" collapsed="false">
      <c r="A67" s="30" t="s">
        <v>78</v>
      </c>
      <c r="B67" s="2" t="n">
        <v>53.3</v>
      </c>
      <c r="C67" s="31" t="n">
        <f aca="false">B67/$B$51</f>
        <v>0.000236888888888889</v>
      </c>
      <c r="D67" s="65" t="s">
        <v>46</v>
      </c>
      <c r="E67" s="34" t="n">
        <f aca="false">Processes!H23</f>
        <v>83.6023974432</v>
      </c>
      <c r="F67" s="31" t="n">
        <f aca="false">E67*$C67</f>
        <v>0.0198044790387669</v>
      </c>
      <c r="G67" s="40" t="n">
        <f aca="false">F67/F$86</f>
        <v>0.00671933750427881</v>
      </c>
      <c r="H67" s="34" t="n">
        <f aca="false">Processes!G23</f>
        <v>2.4385405</v>
      </c>
      <c r="I67" s="31" t="n">
        <f aca="false">H67*$C67</f>
        <v>0.000577663149555556</v>
      </c>
      <c r="J67" s="40" t="n">
        <f aca="false">I67/I$86</f>
        <v>0.00408531079224181</v>
      </c>
      <c r="K67" s="35" t="n">
        <f aca="false">I67/F67*$B$2</f>
        <v>29.1683082612166</v>
      </c>
      <c r="L67" s="34" t="n">
        <f aca="false">Processes!J23</f>
        <v>2.727539</v>
      </c>
      <c r="M67" s="65" t="n">
        <f aca="false">L67*$C67</f>
        <v>0.000646123683111111</v>
      </c>
      <c r="N67" s="40" t="n">
        <f aca="false">M67/M$86</f>
        <v>0.00420270592669379</v>
      </c>
      <c r="O67" s="100"/>
    </row>
    <row r="68" customFormat="false" ht="20.25" hidden="false" customHeight="false" outlineLevel="0" collapsed="false">
      <c r="A68" s="101" t="s">
        <v>114</v>
      </c>
      <c r="B68" s="52" t="n">
        <v>2500</v>
      </c>
      <c r="C68" s="31" t="n">
        <f aca="false">B68/$B$51</f>
        <v>0.0111111111111111</v>
      </c>
      <c r="D68" s="31" t="s">
        <v>82</v>
      </c>
      <c r="E68" s="53" t="n">
        <f aca="false">Processes!H48</f>
        <v>1.02617528517</v>
      </c>
      <c r="F68" s="65" t="n">
        <f aca="false">E68*$C68</f>
        <v>0.011401947613</v>
      </c>
      <c r="G68" s="40" t="n">
        <f aca="false">F68/F$47</f>
        <v>0.0028642202696094</v>
      </c>
      <c r="H68" s="53" t="n">
        <f aca="false">Processes!G48</f>
        <v>0.068347838</v>
      </c>
      <c r="I68" s="31" t="n">
        <f aca="false">H68*$C68</f>
        <v>0.000759420422222222</v>
      </c>
      <c r="J68" s="40" t="n">
        <f aca="false">I68/I$47</f>
        <v>0.00286117013657346</v>
      </c>
      <c r="K68" s="35" t="n">
        <f aca="false">I68/F68*$B$2</f>
        <v>66.6044475907225</v>
      </c>
      <c r="L68" s="53" t="n">
        <f aca="false">Processes!J48</f>
        <v>0.078110457</v>
      </c>
      <c r="M68" s="31" t="n">
        <f aca="false">L68*$C68</f>
        <v>0.000867893966666667</v>
      </c>
      <c r="N68" s="40" t="n">
        <f aca="false">M68/M$47</f>
        <v>0.00317892791666632</v>
      </c>
      <c r="O68" s="100"/>
    </row>
    <row r="69" customFormat="false" ht="20.25" hidden="false" customHeight="false" outlineLevel="0" collapsed="false">
      <c r="A69" s="17" t="s">
        <v>83</v>
      </c>
      <c r="B69" s="19" t="s">
        <v>84</v>
      </c>
      <c r="C69" s="55"/>
      <c r="D69" s="54"/>
      <c r="E69" s="55"/>
      <c r="F69" s="56"/>
      <c r="G69" s="57"/>
      <c r="H69" s="55"/>
      <c r="I69" s="102"/>
      <c r="J69" s="57"/>
      <c r="K69" s="68"/>
      <c r="L69" s="67"/>
      <c r="M69" s="103"/>
      <c r="N69" s="104"/>
    </row>
    <row r="70" customFormat="false" ht="20.25" hidden="false" customHeight="false" outlineLevel="0" collapsed="false">
      <c r="A70" s="30" t="s">
        <v>85</v>
      </c>
      <c r="B70" s="2" t="n">
        <v>556.5</v>
      </c>
      <c r="C70" s="31" t="n">
        <f aca="false">B70/$B$51</f>
        <v>0.00247333333333333</v>
      </c>
      <c r="D70" s="61" t="s">
        <v>86</v>
      </c>
      <c r="E70" s="34" t="n">
        <f aca="false">Processes!H32</f>
        <v>0.70222190421</v>
      </c>
      <c r="F70" s="31" t="n">
        <f aca="false">E70*$C70</f>
        <v>0.0017368288430794</v>
      </c>
      <c r="G70" s="40" t="n">
        <f aca="false">F70/F$86</f>
        <v>0.000589277766962317</v>
      </c>
      <c r="H70" s="64" t="n">
        <f aca="false">Processes!G32</f>
        <v>0.041812313</v>
      </c>
      <c r="I70" s="65" t="n">
        <f aca="false">H70*$C70</f>
        <v>0.000103415787486667</v>
      </c>
      <c r="J70" s="40" t="n">
        <f aca="false">I70/I$86</f>
        <v>0.000731370233729671</v>
      </c>
      <c r="K70" s="66" t="n">
        <f aca="false">I70/F70*$B$2</f>
        <v>59.5428777560547</v>
      </c>
      <c r="L70" s="64" t="n">
        <f aca="false">Processes!J32</f>
        <v>0.044801749</v>
      </c>
      <c r="M70" s="65" t="n">
        <f aca="false">L70*$C70</f>
        <v>0.000110809659193333</v>
      </c>
      <c r="N70" s="40" t="n">
        <f aca="false">M70/M$86</f>
        <v>0.000720760472955232</v>
      </c>
    </row>
    <row r="71" customFormat="false" ht="20.25" hidden="false" customHeight="false" outlineLevel="0" collapsed="false">
      <c r="A71" s="30" t="s">
        <v>87</v>
      </c>
      <c r="B71" s="2" t="n">
        <v>59.1</v>
      </c>
      <c r="C71" s="31" t="n">
        <f aca="false">B71/$B$51</f>
        <v>0.000262666666666667</v>
      </c>
      <c r="D71" s="61" t="s">
        <v>86</v>
      </c>
      <c r="E71" s="34" t="n">
        <f aca="false">Processes!H33</f>
        <v>2.71316117779</v>
      </c>
      <c r="F71" s="31" t="n">
        <f aca="false">E71*$C71</f>
        <v>0.000712657002699507</v>
      </c>
      <c r="G71" s="40" t="n">
        <f aca="false">F71/F$86</f>
        <v>0.000241792925557504</v>
      </c>
      <c r="H71" s="64" t="n">
        <f aca="false">Processes!G33</f>
        <v>0.16557683</v>
      </c>
      <c r="I71" s="65" t="n">
        <f aca="false">H71*$C71</f>
        <v>4.34915140133333E-005</v>
      </c>
      <c r="J71" s="40" t="n">
        <f aca="false">I71/I$86</f>
        <v>0.000307577784226513</v>
      </c>
      <c r="K71" s="66" t="n">
        <f aca="false">I71/F71*$B$2</f>
        <v>61.0272737776936</v>
      </c>
      <c r="L71" s="64" t="n">
        <f aca="false">Processes!J33</f>
        <v>0.17185733</v>
      </c>
      <c r="M71" s="65" t="n">
        <f aca="false">L71*$C71</f>
        <v>4.51411920133333E-005</v>
      </c>
      <c r="N71" s="40" t="n">
        <f aca="false">M71/M$86</f>
        <v>0.000293620494297581</v>
      </c>
    </row>
    <row r="72" customFormat="false" ht="20.25" hidden="false" customHeight="false" outlineLevel="0" collapsed="false">
      <c r="A72" s="30" t="s">
        <v>88</v>
      </c>
      <c r="B72" s="2" t="n">
        <v>9534</v>
      </c>
      <c r="C72" s="31" t="n">
        <f aca="false">B72/$B$51</f>
        <v>0.0423733333333333</v>
      </c>
      <c r="D72" s="61" t="s">
        <v>86</v>
      </c>
      <c r="E72" s="34" t="n">
        <f aca="false">Processes!H34</f>
        <v>0.1278566599795</v>
      </c>
      <c r="F72" s="31" t="n">
        <f aca="false">E72*$C72</f>
        <v>0.00541771287219801</v>
      </c>
      <c r="G72" s="40" t="n">
        <f aca="false">F72/F$86</f>
        <v>0.00183814182732679</v>
      </c>
      <c r="H72" s="64" t="n">
        <f aca="false">Processes!G34</f>
        <v>0.0090969942</v>
      </c>
      <c r="I72" s="65" t="n">
        <f aca="false">H72*$C72</f>
        <v>0.000385469967568</v>
      </c>
      <c r="J72" s="40" t="n">
        <f aca="false">I72/I$86</f>
        <v>0.00272609499117651</v>
      </c>
      <c r="K72" s="66" t="n">
        <f aca="false">I72/F72*$B$2</f>
        <v>71.1499440190177</v>
      </c>
      <c r="L72" s="64" t="n">
        <f aca="false">Processes!J34</f>
        <v>0.0094049824</v>
      </c>
      <c r="M72" s="65" t="n">
        <f aca="false">L72*$C72</f>
        <v>0.000398520454229333</v>
      </c>
      <c r="N72" s="40" t="n">
        <f aca="false">M72/M$86</f>
        <v>0.00259217285896994</v>
      </c>
    </row>
    <row r="73" customFormat="false" ht="20.25" hidden="false" customHeight="false" outlineLevel="0" collapsed="false">
      <c r="A73" s="17" t="s">
        <v>89</v>
      </c>
      <c r="B73" s="19" t="s">
        <v>90</v>
      </c>
      <c r="C73" s="55"/>
      <c r="D73" s="54"/>
      <c r="E73" s="55"/>
      <c r="F73" s="56"/>
      <c r="G73" s="57"/>
      <c r="H73" s="55"/>
      <c r="I73" s="56"/>
      <c r="J73" s="57"/>
      <c r="K73" s="68"/>
      <c r="L73" s="67"/>
      <c r="M73" s="103"/>
      <c r="N73" s="104"/>
    </row>
    <row r="74" customFormat="false" ht="20.25" hidden="false" customHeight="false" outlineLevel="0" collapsed="false">
      <c r="A74" s="30" t="s">
        <v>115</v>
      </c>
      <c r="B74" s="105" t="n">
        <v>0.26</v>
      </c>
      <c r="C74" s="105" t="n">
        <f aca="false">B74</f>
        <v>0.26</v>
      </c>
      <c r="D74" s="61" t="s">
        <v>82</v>
      </c>
      <c r="E74" s="34" t="n">
        <f aca="false">Processes!H46</f>
        <v>9.06833804836</v>
      </c>
      <c r="F74" s="93" t="n">
        <f aca="false">E74*$C74</f>
        <v>2.3577678925736</v>
      </c>
      <c r="G74" s="40" t="n">
        <f aca="false">F74/F$86</f>
        <v>0.799952283316441</v>
      </c>
      <c r="H74" s="34" t="n">
        <f aca="false">Processes!G46</f>
        <v>0.40013556</v>
      </c>
      <c r="I74" s="106" t="n">
        <f aca="false">H74*$C74</f>
        <v>0.1040352456</v>
      </c>
      <c r="J74" s="40" t="n">
        <f aca="false">I74/I$86</f>
        <v>0.735751124076735</v>
      </c>
      <c r="K74" s="77" t="n">
        <f aca="false">I74/F74*$B$2</f>
        <v>44.1244644681463</v>
      </c>
      <c r="L74" s="64" t="n">
        <f aca="false">Processes!J46</f>
        <v>0.42848921</v>
      </c>
      <c r="M74" s="65" t="n">
        <f aca="false">L74*$C74</f>
        <v>0.1114071946</v>
      </c>
      <c r="N74" s="40" t="n">
        <f aca="false">M74/M$86</f>
        <v>0.724647136856662</v>
      </c>
    </row>
    <row r="75" customFormat="false" ht="20.25" hidden="false" customHeight="false" outlineLevel="0" collapsed="false">
      <c r="A75" s="75" t="s">
        <v>116</v>
      </c>
      <c r="B75" s="105" t="n">
        <v>0.26</v>
      </c>
      <c r="C75" s="105" t="n">
        <f aca="false">B75</f>
        <v>0.26</v>
      </c>
      <c r="D75" s="61" t="s">
        <v>82</v>
      </c>
      <c r="E75" s="34" t="n">
        <f aca="false">Processes!H47</f>
        <v>0.195062311515</v>
      </c>
      <c r="F75" s="93" t="n">
        <f aca="false">E75*$C75</f>
        <v>0.0507162009939</v>
      </c>
      <c r="G75" s="40" t="n">
        <f aca="false">'Gasoline and electric vehicles'!$F75/F87</f>
        <v>0.0792027334092159</v>
      </c>
      <c r="H75" s="34" t="n">
        <f aca="false">Processes!G47</f>
        <v>0.01282334</v>
      </c>
      <c r="I75" s="106" t="n">
        <f aca="false">H75*$C75</f>
        <v>0.0033340684</v>
      </c>
      <c r="J75" s="40" t="n">
        <f aca="false">'Gasoline and electric vehicles'!$I75/I87</f>
        <v>0.0819204116802454</v>
      </c>
      <c r="K75" s="77" t="n">
        <f aca="false">I75/F75*$B$2</f>
        <v>65.7397110718331</v>
      </c>
      <c r="L75" s="64" t="n">
        <f aca="false">Processes!J47</f>
        <v>0.014481565</v>
      </c>
      <c r="M75" s="65" t="n">
        <f aca="false">L75*$C75</f>
        <v>0.0037652069</v>
      </c>
      <c r="N75" s="40" t="n">
        <f aca="false">M75/M$86</f>
        <v>0.0244907558219579</v>
      </c>
    </row>
    <row r="76" customFormat="false" ht="20.25" hidden="false" customHeight="false" outlineLevel="0" collapsed="false">
      <c r="A76" s="101" t="s">
        <v>114</v>
      </c>
      <c r="B76" s="105" t="n">
        <v>0.26</v>
      </c>
      <c r="C76" s="105" t="n">
        <f aca="false">B76</f>
        <v>0.26</v>
      </c>
      <c r="D76" s="61" t="s">
        <v>82</v>
      </c>
      <c r="E76" s="34" t="n">
        <f aca="false">Processes!H48</f>
        <v>1.02617528517</v>
      </c>
      <c r="F76" s="93" t="n">
        <f aca="false">E76*$C76</f>
        <v>0.2668055741442</v>
      </c>
      <c r="G76" s="40" t="n">
        <f aca="false">'Gasoline and electric vehicles'!$F76/F88</f>
        <v>0.311534681061588</v>
      </c>
      <c r="H76" s="34" t="n">
        <f aca="false">Processes!G48</f>
        <v>0.068347838</v>
      </c>
      <c r="I76" s="106" t="n">
        <f aca="false">H76*$C76</f>
        <v>0.01777043788</v>
      </c>
      <c r="J76" s="40" t="n">
        <f aca="false">'Gasoline and electric vehicles'!$I76/I88</f>
        <v>0.322306336255522</v>
      </c>
      <c r="K76" s="77" t="n">
        <f aca="false">I76/F76*$B$2</f>
        <v>66.6044475907225</v>
      </c>
      <c r="L76" s="64" t="n">
        <f aca="false">Processes!J48</f>
        <v>0.078110457</v>
      </c>
      <c r="M76" s="65" t="n">
        <f aca="false">L76*$C76</f>
        <v>0.02030871882</v>
      </c>
      <c r="N76" s="40" t="n">
        <f aca="false">M76/M$86</f>
        <v>0.132097886487306</v>
      </c>
    </row>
    <row r="77" customFormat="false" ht="20.25" hidden="false" customHeight="false" outlineLevel="0" collapsed="false">
      <c r="A77" s="101" t="s">
        <v>117</v>
      </c>
      <c r="B77" s="105" t="n">
        <v>0.26</v>
      </c>
      <c r="C77" s="105" t="n">
        <f aca="false">B77</f>
        <v>0.26</v>
      </c>
      <c r="D77" s="61" t="s">
        <v>82</v>
      </c>
      <c r="E77" s="34" t="n">
        <f aca="false">Processes!H49</f>
        <v>10.33904117732</v>
      </c>
      <c r="F77" s="93" t="n">
        <f aca="false">E77*$C77</f>
        <v>2.6881507061032</v>
      </c>
      <c r="G77" s="40" t="n">
        <f aca="false">'Gasoline and electric vehicles'!$F77/F89</f>
        <v>0.820116101447567</v>
      </c>
      <c r="H77" s="34" t="n">
        <f aca="false">Processes!G49</f>
        <v>0.9917628</v>
      </c>
      <c r="I77" s="106" t="n">
        <f aca="false">H77*$C77</f>
        <v>0.257858328</v>
      </c>
      <c r="J77" s="40" t="n">
        <f aca="false">'Gasoline and electric vehicles'!$I77/I89</f>
        <v>0.87343537771063</v>
      </c>
      <c r="K77" s="77" t="n">
        <f aca="false">I77/F77*$B$2</f>
        <v>95.9240593968769</v>
      </c>
      <c r="L77" s="64" t="n">
        <f aca="false">Processes!J49</f>
        <v>1.0089833</v>
      </c>
      <c r="M77" s="65" t="n">
        <f aca="false">L77*$C77</f>
        <v>0.262335658</v>
      </c>
      <c r="N77" s="40" t="n">
        <f aca="false">M77/M$86</f>
        <v>1.70636002591801</v>
      </c>
    </row>
    <row r="78" customFormat="false" ht="20.25" hidden="false" customHeight="false" outlineLevel="0" collapsed="false">
      <c r="A78" s="17" t="s">
        <v>93</v>
      </c>
      <c r="B78" s="19" t="s">
        <v>42</v>
      </c>
      <c r="C78" s="55"/>
      <c r="D78" s="54"/>
      <c r="E78" s="55"/>
      <c r="F78" s="56"/>
      <c r="G78" s="57"/>
      <c r="H78" s="55"/>
      <c r="I78" s="56"/>
      <c r="J78" s="57"/>
      <c r="K78" s="68"/>
      <c r="L78" s="67"/>
      <c r="M78" s="103" t="n">
        <f aca="false">L78*$C78</f>
        <v>0</v>
      </c>
      <c r="N78" s="104"/>
    </row>
    <row r="79" customFormat="false" ht="20.25" hidden="false" customHeight="false" outlineLevel="0" collapsed="false">
      <c r="A79" s="75" t="s">
        <v>118</v>
      </c>
      <c r="B79" s="2" t="n">
        <v>49</v>
      </c>
      <c r="C79" s="31" t="n">
        <f aca="false">B79/$B$51</f>
        <v>0.000217777777777778</v>
      </c>
      <c r="D79" s="65" t="s">
        <v>46</v>
      </c>
      <c r="E79" s="34" t="n">
        <f aca="false">Processes!H41</f>
        <v>0.1458860790314</v>
      </c>
      <c r="F79" s="31" t="n">
        <f aca="false">E79*$C79</f>
        <v>3.17707461001716E-005</v>
      </c>
      <c r="G79" s="40" t="n">
        <f aca="false">F79/F$86</f>
        <v>1.07792972181658E-005</v>
      </c>
      <c r="H79" s="34" t="n">
        <f aca="false">Processes!G41</f>
        <v>0.003980719</v>
      </c>
      <c r="I79" s="31" t="n">
        <f aca="false">H79*$C79</f>
        <v>8.66912137777778E-007</v>
      </c>
      <c r="J79" s="40" t="n">
        <f aca="false">I79/I$86</f>
        <v>6.13091819188021E-006</v>
      </c>
      <c r="K79" s="35" t="n">
        <f aca="false">I79/F79*$B$2</f>
        <v>27.2864897489171</v>
      </c>
      <c r="L79" s="34" t="n">
        <f aca="false">Processes!J41</f>
        <v>0.0042370221</v>
      </c>
      <c r="M79" s="65" t="n">
        <f aca="false">L79*$C79</f>
        <v>9.22729257333333E-007</v>
      </c>
      <c r="N79" s="40" t="n">
        <f aca="false">M79/M$86</f>
        <v>6.00188449966116E-006</v>
      </c>
    </row>
    <row r="80" customFormat="false" ht="20.25" hidden="false" customHeight="false" outlineLevel="0" collapsed="false">
      <c r="A80" s="75" t="s">
        <v>119</v>
      </c>
      <c r="B80" s="2" t="n">
        <v>3.4</v>
      </c>
      <c r="C80" s="31" t="n">
        <f aca="false">B80/$B$51</f>
        <v>1.51111111111111E-005</v>
      </c>
      <c r="D80" s="65" t="s">
        <v>46</v>
      </c>
      <c r="E80" s="34" t="n">
        <f aca="false">Processes!H42</f>
        <v>0.247165548033</v>
      </c>
      <c r="F80" s="31" t="n">
        <f aca="false">E80*$C80</f>
        <v>3.73494605916533E-006</v>
      </c>
      <c r="G80" s="40" t="n">
        <f aca="false">F80/F$86</f>
        <v>1.26720642752997E-006</v>
      </c>
      <c r="H80" s="34" t="n">
        <f aca="false">Processes!G42</f>
        <v>2.8409763</v>
      </c>
      <c r="I80" s="31" t="n">
        <f aca="false">H80*$C80</f>
        <v>4.29303085333333E-005</v>
      </c>
      <c r="J80" s="40" t="n">
        <f aca="false">I80/I$86</f>
        <v>0.000303608864267064</v>
      </c>
      <c r="K80" s="35" t="n">
        <f aca="false">I80/F80*$B$2</f>
        <v>11494.2245090756</v>
      </c>
      <c r="L80" s="34" t="n">
        <f aca="false">Processes!J42</f>
        <v>2.8430456</v>
      </c>
      <c r="M80" s="65" t="n">
        <f aca="false">L80*$C80</f>
        <v>4.29615779555556E-005</v>
      </c>
      <c r="N80" s="40" t="n">
        <f aca="false">M80/M$86</f>
        <v>0.000279443213448781</v>
      </c>
    </row>
    <row r="81" customFormat="false" ht="20.25" hidden="false" customHeight="false" outlineLevel="0" collapsed="false">
      <c r="A81" s="75" t="s">
        <v>120</v>
      </c>
      <c r="B81" s="2" t="n">
        <v>162.9</v>
      </c>
      <c r="C81" s="31" t="n">
        <f aca="false">B81/$B$51</f>
        <v>0.000724</v>
      </c>
      <c r="D81" s="65" t="s">
        <v>46</v>
      </c>
      <c r="E81" s="34" t="n">
        <f aca="false">Processes!H43</f>
        <v>0.2396002528751</v>
      </c>
      <c r="F81" s="31" t="n">
        <f aca="false">E81*$C81</f>
        <v>0.000173470583081572</v>
      </c>
      <c r="G81" s="40" t="n">
        <f aca="false">F81/F$86</f>
        <v>5.88557463444237E-005</v>
      </c>
      <c r="H81" s="34" t="n">
        <f aca="false">Processes!G43</f>
        <v>0.024003382</v>
      </c>
      <c r="I81" s="31" t="n">
        <f aca="false">H81*$C81</f>
        <v>1.7378448568E-005</v>
      </c>
      <c r="J81" s="40" t="n">
        <f aca="false">I81/I$86</f>
        <v>0.000122902704702374</v>
      </c>
      <c r="K81" s="35" t="n">
        <f aca="false">I81/F81*$B$2</f>
        <v>100.180954368661</v>
      </c>
      <c r="L81" s="34" t="n">
        <f aca="false">Processes!J43</f>
        <v>0.096838258</v>
      </c>
      <c r="M81" s="65" t="n">
        <f aca="false">L81*$C81</f>
        <v>7.0110898792E-005</v>
      </c>
      <c r="N81" s="40" t="n">
        <f aca="false">M81/M$86</f>
        <v>0.000456035736780594</v>
      </c>
    </row>
    <row r="82" customFormat="false" ht="20.25" hidden="false" customHeight="false" outlineLevel="0" collapsed="false">
      <c r="A82" s="75" t="s">
        <v>121</v>
      </c>
      <c r="B82" s="2" t="n">
        <v>9.1</v>
      </c>
      <c r="C82" s="31" t="n">
        <f aca="false">B82/$B$51</f>
        <v>4.04444444444444E-005</v>
      </c>
      <c r="D82" s="65" t="s">
        <v>46</v>
      </c>
      <c r="E82" s="34" t="n">
        <f aca="false">Processes!H44</f>
        <v>0.67096498464</v>
      </c>
      <c r="F82" s="31" t="n">
        <f aca="false">E82*$C82</f>
        <v>2.713680604544E-005</v>
      </c>
      <c r="G82" s="40" t="n">
        <f aca="false">F82/F$86</f>
        <v>9.2070767552398E-006</v>
      </c>
      <c r="H82" s="34" t="n">
        <f aca="false">Processes!G44</f>
        <v>0.47093748</v>
      </c>
      <c r="I82" s="31" t="n">
        <f aca="false">H82*$C82</f>
        <v>1.90468047466667E-005</v>
      </c>
      <c r="J82" s="40" t="n">
        <f aca="false">I82/I$86</f>
        <v>0.000134701541978482</v>
      </c>
      <c r="K82" s="35" t="n">
        <f aca="false">I82/F82*$B$2</f>
        <v>701.8808593308</v>
      </c>
      <c r="L82" s="34" t="n">
        <f aca="false">Processes!J44</f>
        <v>0.62918377</v>
      </c>
      <c r="M82" s="65" t="n">
        <f aca="false">L82*$C82</f>
        <v>2.54469880311111E-005</v>
      </c>
      <c r="N82" s="40" t="n">
        <f aca="false">M82/M$86</f>
        <v>0.000165519714274992</v>
      </c>
    </row>
    <row r="83" customFormat="false" ht="20.25" hidden="false" customHeight="false" outlineLevel="0" collapsed="false">
      <c r="A83" s="75" t="s">
        <v>98</v>
      </c>
      <c r="B83" s="34" t="n">
        <f aca="false">B62</f>
        <v>76.5</v>
      </c>
      <c r="C83" s="31" t="n">
        <f aca="false">B83/$B$51</f>
        <v>0.00034</v>
      </c>
      <c r="D83" s="65"/>
      <c r="E83" s="34"/>
      <c r="F83" s="31"/>
      <c r="G83" s="40"/>
      <c r="H83" s="34"/>
      <c r="I83" s="31"/>
      <c r="J83" s="40"/>
      <c r="K83" s="35"/>
      <c r="L83" s="34"/>
      <c r="M83" s="65"/>
      <c r="N83" s="40"/>
    </row>
    <row r="84" customFormat="false" ht="20.25" hidden="false" customHeight="false" outlineLevel="0" collapsed="false">
      <c r="A84" s="75" t="s">
        <v>99</v>
      </c>
      <c r="B84" s="34" t="n">
        <v>956.9</v>
      </c>
      <c r="C84" s="31" t="n">
        <f aca="false">B84/$B$51</f>
        <v>0.00425288888888889</v>
      </c>
      <c r="D84" s="65"/>
      <c r="E84" s="34"/>
      <c r="F84" s="31"/>
      <c r="G84" s="40"/>
      <c r="H84" s="34"/>
      <c r="I84" s="31"/>
      <c r="J84" s="40"/>
      <c r="K84" s="35"/>
      <c r="L84" s="34"/>
      <c r="M84" s="65"/>
      <c r="N84" s="40"/>
    </row>
    <row r="85" customFormat="false" ht="20.25" hidden="false" customHeight="false" outlineLevel="0" collapsed="false">
      <c r="A85" s="17" t="s">
        <v>100</v>
      </c>
      <c r="B85" s="107"/>
      <c r="C85" s="108"/>
      <c r="D85" s="109"/>
      <c r="E85" s="108"/>
      <c r="F85" s="110"/>
      <c r="G85" s="111"/>
      <c r="H85" s="55"/>
      <c r="I85" s="55"/>
      <c r="J85" s="57"/>
      <c r="K85" s="68"/>
      <c r="L85" s="112"/>
      <c r="M85" s="113" t="n">
        <f aca="false">L85*$C85</f>
        <v>0</v>
      </c>
      <c r="N85" s="114" t="n">
        <f aca="false">M85/M$47</f>
        <v>0</v>
      </c>
    </row>
    <row r="86" customFormat="false" ht="20.25" hidden="false" customHeight="false" outlineLevel="0" collapsed="false">
      <c r="A86" s="115" t="s">
        <v>122</v>
      </c>
      <c r="B86" s="116" t="s">
        <v>101</v>
      </c>
      <c r="C86" s="117"/>
      <c r="D86" s="118" t="s">
        <v>101</v>
      </c>
      <c r="E86" s="117"/>
      <c r="F86" s="119" t="n">
        <f aca="false">SUM(F$54:F$72)+SUM(F$79:F$82)+F74</f>
        <v>2.94738566505338</v>
      </c>
      <c r="G86" s="120" t="n">
        <f aca="false">F86/F$86</f>
        <v>1</v>
      </c>
      <c r="H86" s="121"/>
      <c r="I86" s="119" t="n">
        <f aca="false">SUM(I$54:I$72)+SUM(I$79:I$82)+I74</f>
        <v>0.141400049820583</v>
      </c>
      <c r="J86" s="120" t="n">
        <f aca="false">I86/I$86</f>
        <v>1</v>
      </c>
      <c r="K86" s="122" t="n">
        <f aca="false">I86/F86*$B$2</f>
        <v>47.974736220352</v>
      </c>
      <c r="L86" s="121"/>
      <c r="M86" s="119" t="n">
        <f aca="false">SUM(M$54:M$72)+SUM(M$79:M$82)+M74</f>
        <v>0.153739922416939</v>
      </c>
      <c r="N86" s="120" t="n">
        <f aca="false">M86/M$47</f>
        <v>0.563119632176252</v>
      </c>
    </row>
    <row r="87" customFormat="false" ht="20.25" hidden="false" customHeight="false" outlineLevel="0" collapsed="false">
      <c r="A87" s="85" t="s">
        <v>123</v>
      </c>
      <c r="B87" s="116" t="s">
        <v>101</v>
      </c>
      <c r="C87" s="87"/>
      <c r="D87" s="88" t="s">
        <v>101</v>
      </c>
      <c r="E87" s="87"/>
      <c r="F87" s="119" t="n">
        <f aca="false">SUM(F$54:F$72)+SUM(F$79:F$82)+F75</f>
        <v>0.640333973473683</v>
      </c>
      <c r="G87" s="91" t="n">
        <f aca="false">F87/F$86</f>
        <v>0.217254898490553</v>
      </c>
      <c r="H87" s="86"/>
      <c r="I87" s="119" t="n">
        <f aca="false">SUM(I$54:I$72)+SUM(I$79:I$82)+I75</f>
        <v>0.0406988726205827</v>
      </c>
      <c r="J87" s="91" t="n">
        <f aca="false">I87/I$86</f>
        <v>0.287827852056799</v>
      </c>
      <c r="K87" s="123" t="n">
        <f aca="false">I87/F87*$B$2</f>
        <v>63.5588213441175</v>
      </c>
      <c r="L87" s="86"/>
      <c r="M87" s="119" t="n">
        <f aca="false">SUM(M$54:M$72)+SUM(M$79:M$82)+M75</f>
        <v>0.0460979347169387</v>
      </c>
      <c r="N87" s="91" t="n">
        <f aca="false">M87/M$86</f>
        <v>0.299843618965296</v>
      </c>
    </row>
    <row r="88" customFormat="false" ht="20.25" hidden="false" customHeight="false" outlineLevel="0" collapsed="false">
      <c r="A88" s="115" t="s">
        <v>124</v>
      </c>
      <c r="B88" s="116" t="s">
        <v>101</v>
      </c>
      <c r="C88" s="117"/>
      <c r="D88" s="118" t="s">
        <v>101</v>
      </c>
      <c r="E88" s="117"/>
      <c r="F88" s="119" t="n">
        <f aca="false">SUM(F$54:F$72)+SUM(F$79:F$82)+F76</f>
        <v>0.856423346623983</v>
      </c>
      <c r="G88" s="120" t="n">
        <f aca="false">F88/F$86</f>
        <v>0.290570506865945</v>
      </c>
      <c r="H88" s="121"/>
      <c r="I88" s="119" t="n">
        <f aca="false">SUM(I$54:I$72)+SUM(I$79:I$82)+I76</f>
        <v>0.0551352421005827</v>
      </c>
      <c r="J88" s="120" t="n">
        <f aca="false">I88/I$86</f>
        <v>0.389923781289623</v>
      </c>
      <c r="K88" s="124" t="n">
        <f aca="false">I88/F88*$B$2</f>
        <v>64.3784902851208</v>
      </c>
      <c r="L88" s="121"/>
      <c r="M88" s="119" t="n">
        <f aca="false">SUM(M$54:M$72)+SUM(M$79:M$82)+M76</f>
        <v>0.0626414466369387</v>
      </c>
      <c r="N88" s="120" t="n">
        <f aca="false">M88/M$86</f>
        <v>0.407450749630644</v>
      </c>
    </row>
    <row r="89" customFormat="false" ht="20.25" hidden="false" customHeight="false" outlineLevel="0" collapsed="false">
      <c r="A89" s="115" t="s">
        <v>125</v>
      </c>
      <c r="B89" s="116" t="s">
        <v>101</v>
      </c>
      <c r="C89" s="117"/>
      <c r="D89" s="118" t="s">
        <v>101</v>
      </c>
      <c r="E89" s="117"/>
      <c r="F89" s="119" t="n">
        <f aca="false">SUM(F$54:F$72)+SUM(F$79:F$82)+F77</f>
        <v>3.27776847858298</v>
      </c>
      <c r="G89" s="120" t="n">
        <f aca="false">F89/F$86</f>
        <v>1.11209351305697</v>
      </c>
      <c r="H89" s="121"/>
      <c r="I89" s="119" t="n">
        <f aca="false">SUM(I$54:I$72)+SUM(I$79:I$82)+I77</f>
        <v>0.295223132220583</v>
      </c>
      <c r="J89" s="120" t="n">
        <f aca="false">I89/I$86</f>
        <v>2.08785734230773</v>
      </c>
      <c r="K89" s="124" t="n">
        <f aca="false">I89/F89*$B$2</f>
        <v>90.0683297644656</v>
      </c>
      <c r="L89" s="121"/>
      <c r="M89" s="119" t="n">
        <f aca="false">SUM(M$54:M$72)+SUM(M$79:M$82)+M77</f>
        <v>0.304668385816939</v>
      </c>
      <c r="N89" s="120" t="n">
        <f aca="false">M89/M$86</f>
        <v>1.98171288906135</v>
      </c>
    </row>
    <row r="90" customFormat="false" ht="20.25" hidden="false" customHeight="false" outlineLevel="0" collapsed="false">
      <c r="A90" s="125" t="s">
        <v>126</v>
      </c>
      <c r="B90" s="126"/>
      <c r="C90" s="127"/>
      <c r="D90" s="127"/>
      <c r="E90" s="127"/>
      <c r="F90" s="127"/>
      <c r="G90" s="127"/>
      <c r="J90" s="100"/>
    </row>
    <row r="91" customFormat="false" ht="51.75" hidden="false" customHeight="true" outlineLevel="0" collapsed="false">
      <c r="A91" s="128" t="s">
        <v>127</v>
      </c>
      <c r="B91" s="129"/>
      <c r="C91" s="128" t="s">
        <v>128</v>
      </c>
      <c r="D91" s="128"/>
      <c r="E91" s="128"/>
      <c r="F91" s="128"/>
      <c r="G91" s="128"/>
      <c r="H91" s="128"/>
    </row>
    <row r="92" customFormat="false" ht="42.75" hidden="false" customHeight="true" outlineLevel="0" collapsed="false">
      <c r="A92" s="128" t="s">
        <v>129</v>
      </c>
      <c r="B92" s="129"/>
      <c r="C92" s="128" t="s">
        <v>130</v>
      </c>
      <c r="D92" s="128"/>
      <c r="E92" s="128"/>
      <c r="F92" s="128"/>
      <c r="G92" s="128"/>
      <c r="H92" s="128"/>
    </row>
    <row r="93" customFormat="false" ht="151.5" hidden="false" customHeight="true" outlineLevel="0" collapsed="false">
      <c r="A93" s="128" t="s">
        <v>131</v>
      </c>
      <c r="B93" s="129"/>
      <c r="C93" s="128" t="s">
        <v>132</v>
      </c>
      <c r="D93" s="128"/>
      <c r="E93" s="128"/>
      <c r="F93" s="128"/>
      <c r="G93" s="128"/>
      <c r="H93" s="128"/>
    </row>
    <row r="94" customFormat="false" ht="107.25" hidden="false" customHeight="true" outlineLevel="0" collapsed="false">
      <c r="A94" s="128" t="s">
        <v>133</v>
      </c>
      <c r="B94" s="129"/>
      <c r="C94" s="128" t="s">
        <v>134</v>
      </c>
      <c r="D94" s="128"/>
      <c r="E94" s="128"/>
      <c r="F94" s="128"/>
      <c r="G94" s="128"/>
      <c r="H94" s="128"/>
    </row>
    <row r="95" customFormat="false" ht="37.5" hidden="false" customHeight="true" outlineLevel="0" collapsed="false">
      <c r="A95" s="128" t="s">
        <v>135</v>
      </c>
      <c r="B95" s="129"/>
      <c r="C95" s="128" t="s">
        <v>136</v>
      </c>
      <c r="D95" s="128"/>
      <c r="E95" s="128"/>
      <c r="F95" s="128"/>
      <c r="G95" s="128"/>
      <c r="H95" s="128"/>
    </row>
    <row r="96" customFormat="false" ht="20.25" hidden="false" customHeight="false" outlineLevel="0" collapsed="false">
      <c r="A96" s="130"/>
      <c r="B96" s="131"/>
      <c r="C96" s="132"/>
      <c r="D96" s="132"/>
      <c r="E96" s="132"/>
      <c r="F96" s="132"/>
      <c r="G96" s="132"/>
    </row>
    <row r="97" customFormat="false" ht="20.25" hidden="false" customHeight="false" outlineLevel="0" collapsed="false">
      <c r="A97" s="130"/>
      <c r="B97" s="131"/>
      <c r="C97" s="130"/>
      <c r="D97" s="133"/>
      <c r="E97" s="133"/>
      <c r="F97" s="133"/>
      <c r="G97" s="133"/>
    </row>
    <row r="98" customFormat="false" ht="20.25" hidden="false" customHeight="false" outlineLevel="0" collapsed="false">
      <c r="A98" s="130"/>
      <c r="B98" s="131"/>
      <c r="C98" s="130"/>
      <c r="D98" s="133"/>
      <c r="E98" s="133"/>
      <c r="F98" s="133"/>
      <c r="G98" s="133"/>
    </row>
    <row r="101" customFormat="false" ht="20.25" hidden="false" customHeight="false" outlineLevel="0" collapsed="false">
      <c r="R101" s="21"/>
      <c r="S101" s="21"/>
      <c r="T101" s="21"/>
      <c r="U101" s="21"/>
      <c r="V101" s="21"/>
      <c r="W101" s="21"/>
      <c r="X101" s="21"/>
      <c r="Y101" s="21"/>
    </row>
    <row r="102" customFormat="false" ht="20.25" hidden="false" customHeight="false" outlineLevel="0" collapsed="false">
      <c r="R102" s="134" t="n">
        <f aca="false">Processes!H85</f>
        <v>0</v>
      </c>
      <c r="S102" s="134"/>
      <c r="T102" s="134"/>
      <c r="U102" s="134"/>
      <c r="V102" s="134"/>
      <c r="W102" s="134"/>
      <c r="X102" s="134"/>
      <c r="Y102" s="134"/>
    </row>
    <row r="103" customFormat="false" ht="20.25" hidden="false" customHeight="false" outlineLevel="0" collapsed="false">
      <c r="R103" s="34" t="n">
        <f aca="false">Processes!H76</f>
        <v>0</v>
      </c>
      <c r="S103" s="34"/>
      <c r="T103" s="34"/>
      <c r="U103" s="34"/>
      <c r="V103" s="34"/>
      <c r="W103" s="34"/>
      <c r="X103" s="34"/>
      <c r="Y103" s="34"/>
    </row>
    <row r="104" customFormat="false" ht="20.25" hidden="false" customHeight="false" outlineLevel="0" collapsed="false">
      <c r="R104" s="55"/>
      <c r="S104" s="55"/>
      <c r="T104" s="55"/>
      <c r="U104" s="55"/>
      <c r="V104" s="55"/>
      <c r="W104" s="55"/>
      <c r="X104" s="55"/>
      <c r="Y104" s="55"/>
    </row>
    <row r="105" customFormat="false" ht="20.25" hidden="false" customHeight="false" outlineLevel="0" collapsed="false">
      <c r="R105" s="2" t="n">
        <v>27.1</v>
      </c>
      <c r="S105" s="2"/>
      <c r="T105" s="2"/>
      <c r="U105" s="2"/>
      <c r="V105" s="2"/>
      <c r="W105" s="2"/>
      <c r="X105" s="2"/>
      <c r="Y105" s="2"/>
    </row>
    <row r="106" customFormat="false" ht="20.25" hidden="false" customHeight="false" outlineLevel="0" collapsed="false">
      <c r="R106" s="55"/>
      <c r="S106" s="55"/>
      <c r="T106" s="55"/>
      <c r="U106" s="55"/>
      <c r="V106" s="55"/>
      <c r="W106" s="55"/>
      <c r="X106" s="55"/>
      <c r="Y106" s="55"/>
    </row>
    <row r="107" customFormat="false" ht="20.25" hidden="false" customHeight="false" outlineLevel="0" collapsed="false">
      <c r="R107" s="134" t="n">
        <f aca="false">Processes!H84</f>
        <v>0</v>
      </c>
      <c r="S107" s="134"/>
      <c r="T107" s="134"/>
      <c r="U107" s="134"/>
      <c r="V107" s="134"/>
      <c r="W107" s="134"/>
      <c r="X107" s="134"/>
      <c r="Y107" s="134"/>
    </row>
    <row r="108" customFormat="false" ht="20.25" hidden="false" customHeight="false" outlineLevel="0" collapsed="false">
      <c r="R108" s="135" t="n">
        <f aca="false">Processes!G83</f>
        <v>0</v>
      </c>
      <c r="S108" s="135"/>
      <c r="T108" s="135"/>
      <c r="U108" s="135"/>
      <c r="V108" s="135"/>
      <c r="W108" s="135"/>
      <c r="X108" s="135"/>
      <c r="Y108" s="135"/>
    </row>
    <row r="109" customFormat="false" ht="20.25" hidden="false" customHeight="false" outlineLevel="0" collapsed="false">
      <c r="R109" s="55"/>
      <c r="S109" s="55"/>
      <c r="T109" s="55"/>
      <c r="U109" s="55"/>
      <c r="V109" s="55"/>
      <c r="W109" s="55"/>
      <c r="X109" s="55"/>
      <c r="Y109" s="55"/>
    </row>
    <row r="110" customFormat="false" ht="20.25" hidden="false" customHeight="false" outlineLevel="0" collapsed="false">
      <c r="R110" s="2"/>
      <c r="S110" s="2"/>
      <c r="T110" s="2"/>
      <c r="U110" s="2"/>
      <c r="V110" s="2"/>
      <c r="W110" s="2"/>
      <c r="X110" s="2"/>
      <c r="Y110" s="2"/>
    </row>
    <row r="111" customFormat="false" ht="20.25" hidden="false" customHeight="false" outlineLevel="0" collapsed="false">
      <c r="R111" s="55"/>
      <c r="S111" s="55"/>
      <c r="T111" s="55"/>
      <c r="U111" s="55"/>
      <c r="V111" s="55"/>
      <c r="W111" s="55"/>
      <c r="X111" s="55"/>
      <c r="Y111" s="55"/>
    </row>
    <row r="112" customFormat="false" ht="20.25" hidden="false" customHeight="false" outlineLevel="0" collapsed="false">
      <c r="R112" s="34" t="n">
        <f aca="false">Processes!H80</f>
        <v>0</v>
      </c>
      <c r="S112" s="34"/>
      <c r="T112" s="34"/>
      <c r="U112" s="34"/>
      <c r="V112" s="34"/>
      <c r="W112" s="34"/>
      <c r="X112" s="34"/>
      <c r="Y112" s="34"/>
    </row>
    <row r="113" customFormat="false" ht="20.25" hidden="false" customHeight="false" outlineLevel="0" collapsed="false">
      <c r="R113" s="34" t="n">
        <f aca="false">Processes!H81</f>
        <v>0</v>
      </c>
      <c r="S113" s="34"/>
      <c r="T113" s="34"/>
      <c r="U113" s="34"/>
      <c r="V113" s="34"/>
      <c r="W113" s="34"/>
      <c r="X113" s="34"/>
      <c r="Y113" s="34"/>
    </row>
    <row r="114" customFormat="false" ht="20.25" hidden="false" customHeight="false" outlineLevel="0" collapsed="false">
      <c r="R114" s="34" t="n">
        <f aca="false">Processes!H75</f>
        <v>0</v>
      </c>
      <c r="S114" s="34"/>
      <c r="T114" s="34"/>
      <c r="U114" s="34"/>
      <c r="V114" s="34"/>
      <c r="W114" s="34"/>
      <c r="X114" s="34"/>
      <c r="Y114" s="34"/>
    </row>
    <row r="115" customFormat="false" ht="20.25" hidden="false" customHeight="false" outlineLevel="0" collapsed="false">
      <c r="R115" s="136"/>
      <c r="S115" s="55"/>
      <c r="T115" s="55"/>
      <c r="U115" s="55"/>
      <c r="V115" s="55"/>
      <c r="W115" s="55"/>
      <c r="X115" s="55"/>
      <c r="Y115" s="55"/>
    </row>
    <row r="116" customFormat="false" ht="20.25" hidden="false" customHeight="false" outlineLevel="0" collapsed="false">
      <c r="R116" s="2"/>
      <c r="S116" s="2"/>
      <c r="T116" s="2"/>
      <c r="U116" s="2"/>
      <c r="V116" s="2"/>
      <c r="W116" s="2"/>
      <c r="X116" s="2"/>
      <c r="Y116" s="2"/>
    </row>
    <row r="117" customFormat="false" ht="20.25" hidden="false" customHeight="false" outlineLevel="0" collapsed="false">
      <c r="R117" s="2"/>
      <c r="S117" s="2"/>
      <c r="T117" s="2"/>
      <c r="U117" s="2"/>
      <c r="V117" s="2"/>
      <c r="W117" s="2"/>
      <c r="X117" s="2"/>
      <c r="Y117" s="2"/>
    </row>
    <row r="118" customFormat="false" ht="20.25" hidden="false" customHeight="false" outlineLevel="0" collapsed="false">
      <c r="R118" s="2"/>
      <c r="S118" s="2"/>
      <c r="T118" s="2"/>
      <c r="U118" s="2"/>
      <c r="V118" s="2"/>
      <c r="W118" s="2"/>
      <c r="X118" s="2"/>
      <c r="Y118" s="2"/>
    </row>
    <row r="119" customFormat="false" ht="20.25" hidden="false" customHeight="false" outlineLevel="0" collapsed="false">
      <c r="R119" s="137" t="s">
        <v>21</v>
      </c>
      <c r="S119" s="8"/>
      <c r="T119" s="8"/>
      <c r="U119" s="8"/>
      <c r="V119" s="8"/>
      <c r="W119" s="8"/>
      <c r="X119" s="8"/>
      <c r="Y119" s="8"/>
    </row>
    <row r="120" customFormat="false" ht="20.25" hidden="false" customHeight="false" outlineLevel="0" collapsed="false">
      <c r="R120" s="21"/>
      <c r="S120" s="21"/>
      <c r="T120" s="21"/>
      <c r="U120" s="21"/>
      <c r="V120" s="21"/>
      <c r="W120" s="21"/>
      <c r="X120" s="21"/>
      <c r="Y120" s="21"/>
    </row>
    <row r="121" customFormat="false" ht="20.25" hidden="false" customHeight="false" outlineLevel="0" collapsed="false">
      <c r="R121" s="34" t="n">
        <f aca="false">Processes!H77</f>
        <v>0</v>
      </c>
      <c r="S121" s="34"/>
      <c r="T121" s="34"/>
      <c r="U121" s="34"/>
      <c r="V121" s="34"/>
      <c r="W121" s="34"/>
      <c r="X121" s="34"/>
      <c r="Y121" s="34"/>
    </row>
    <row r="122" customFormat="false" ht="20.25" hidden="false" customHeight="false" outlineLevel="0" collapsed="false">
      <c r="R122" s="34" t="n">
        <f aca="false">Processes!H78</f>
        <v>0</v>
      </c>
      <c r="S122" s="34"/>
      <c r="T122" s="34"/>
      <c r="U122" s="34"/>
      <c r="V122" s="34"/>
      <c r="W122" s="34"/>
      <c r="X122" s="34"/>
      <c r="Y122" s="34"/>
    </row>
    <row r="123" customFormat="false" ht="20.25" hidden="false" customHeight="false" outlineLevel="0" collapsed="false">
      <c r="R123" s="55"/>
      <c r="S123" s="55"/>
      <c r="T123" s="55"/>
      <c r="U123" s="55"/>
      <c r="V123" s="55"/>
      <c r="W123" s="55"/>
      <c r="X123" s="55"/>
      <c r="Y123" s="55"/>
    </row>
    <row r="124" customFormat="false" ht="20.25" hidden="false" customHeight="false" outlineLevel="0" collapsed="false">
      <c r="R124" s="2" t="n">
        <v>27.1</v>
      </c>
      <c r="S124" s="2"/>
      <c r="T124" s="2"/>
      <c r="U124" s="2"/>
      <c r="V124" s="2"/>
      <c r="W124" s="2"/>
      <c r="X124" s="2"/>
      <c r="Y124" s="2"/>
    </row>
    <row r="125" customFormat="false" ht="20.25" hidden="false" customHeight="false" outlineLevel="0" collapsed="false">
      <c r="R125" s="55"/>
      <c r="S125" s="55"/>
      <c r="T125" s="55"/>
      <c r="U125" s="55"/>
      <c r="V125" s="55"/>
      <c r="W125" s="55"/>
      <c r="X125" s="55"/>
      <c r="Y125" s="55"/>
    </row>
    <row r="126" customFormat="false" ht="20.25" hidden="false" customHeight="false" outlineLevel="0" collapsed="false">
      <c r="R126" s="134" t="n">
        <f aca="false">Processes!H83</f>
        <v>0</v>
      </c>
      <c r="S126" s="134"/>
      <c r="T126" s="134"/>
      <c r="U126" s="134"/>
      <c r="V126" s="134"/>
      <c r="W126" s="134"/>
      <c r="X126" s="134"/>
      <c r="Y126" s="134"/>
    </row>
    <row r="127" customFormat="false" ht="20.25" hidden="false" customHeight="false" outlineLevel="0" collapsed="false">
      <c r="R127" s="55"/>
      <c r="S127" s="55"/>
      <c r="T127" s="55"/>
      <c r="U127" s="55"/>
      <c r="V127" s="55"/>
      <c r="W127" s="55"/>
      <c r="X127" s="55"/>
      <c r="Y127" s="55"/>
    </row>
    <row r="128" customFormat="false" ht="20.25" hidden="false" customHeight="false" outlineLevel="0" collapsed="false">
      <c r="R128" s="34" t="n">
        <f aca="false">Processes!H75</f>
        <v>0</v>
      </c>
      <c r="S128" s="34"/>
      <c r="T128" s="34"/>
      <c r="U128" s="34"/>
      <c r="V128" s="34"/>
      <c r="W128" s="34"/>
      <c r="X128" s="34"/>
      <c r="Y128" s="34"/>
    </row>
    <row r="129" customFormat="false" ht="20.25" hidden="false" customHeight="false" outlineLevel="0" collapsed="false">
      <c r="R129" s="55"/>
      <c r="S129" s="55"/>
      <c r="T129" s="55"/>
      <c r="U129" s="55"/>
      <c r="V129" s="55"/>
      <c r="W129" s="55"/>
      <c r="X129" s="55"/>
      <c r="Y129" s="55"/>
    </row>
    <row r="130" customFormat="false" ht="20.25" hidden="false" customHeight="false" outlineLevel="0" collapsed="false">
      <c r="R130" s="34" t="n">
        <f aca="false">Processes!H79</f>
        <v>0</v>
      </c>
      <c r="S130" s="34"/>
      <c r="T130" s="34"/>
      <c r="U130" s="34"/>
      <c r="V130" s="34"/>
      <c r="W130" s="34"/>
      <c r="X130" s="34"/>
      <c r="Y130" s="34"/>
    </row>
    <row r="131" customFormat="false" ht="20.25" hidden="false" customHeight="false" outlineLevel="0" collapsed="false">
      <c r="R131" s="136"/>
      <c r="S131" s="55"/>
      <c r="T131" s="55"/>
      <c r="U131" s="55"/>
      <c r="V131" s="55"/>
      <c r="W131" s="55"/>
      <c r="X131" s="55"/>
      <c r="Y131" s="55"/>
    </row>
    <row r="132" customFormat="false" ht="20.25" hidden="false" customHeight="false" outlineLevel="0" collapsed="false">
      <c r="R132" s="2"/>
      <c r="S132" s="2"/>
      <c r="T132" s="2"/>
      <c r="U132" s="2"/>
      <c r="V132" s="2"/>
      <c r="W132" s="2"/>
      <c r="X132" s="2"/>
      <c r="Y132" s="2"/>
    </row>
    <row r="144" customFormat="false" ht="20.25" hidden="false" customHeight="false" outlineLevel="0" collapsed="false">
      <c r="F144" s="1"/>
      <c r="K144" s="77"/>
      <c r="L144" s="50"/>
      <c r="M144" s="50"/>
      <c r="N144" s="50"/>
    </row>
    <row r="145" customFormat="false" ht="20.25" hidden="false" customHeight="false" outlineLevel="0" collapsed="false">
      <c r="F145" s="1"/>
      <c r="K145" s="77"/>
      <c r="L145" s="50"/>
      <c r="M145" s="50"/>
      <c r="N145" s="50"/>
    </row>
  </sheetData>
  <mergeCells count="7">
    <mergeCell ref="C90:G90"/>
    <mergeCell ref="C91:H91"/>
    <mergeCell ref="C92:H92"/>
    <mergeCell ref="C93:H93"/>
    <mergeCell ref="C94:H94"/>
    <mergeCell ref="C95:H95"/>
    <mergeCell ref="C96:G9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3"/>
  <sheetViews>
    <sheetView showFormulas="false" showGridLines="true" showRowColHeaders="true" showZeros="true" rightToLeft="false" tabSelected="true" showOutlineSymbols="true" defaultGridColor="true" view="normal" topLeftCell="A1" colorId="64" zoomScale="50" zoomScaleNormal="50" zoomScalePageLayoutView="100" workbookViewId="0">
      <selection pane="topLeft" activeCell="F47" activeCellId="0" sqref="F47"/>
    </sheetView>
  </sheetViews>
  <sheetFormatPr defaultColWidth="30.71484375" defaultRowHeight="20.25" zeroHeight="false" outlineLevelRow="0" outlineLevelCol="0"/>
  <cols>
    <col collapsed="false" customWidth="true" hidden="false" outlineLevel="0" max="1" min="1" style="1" width="60.42"/>
    <col collapsed="false" customWidth="true" hidden="false" outlineLevel="0" max="2" min="2" style="2" width="34.57"/>
    <col collapsed="false" customWidth="true" hidden="false" outlineLevel="0" max="3" min="3" style="2" width="35"/>
    <col collapsed="false" customWidth="true" hidden="false" outlineLevel="0" max="4" min="4" style="1" width="24.14"/>
    <col collapsed="false" customWidth="true" hidden="false" outlineLevel="0" max="5" min="5" style="1" width="18.86"/>
    <col collapsed="false" customWidth="true" hidden="false" outlineLevel="0" max="6" min="6" style="1" width="19"/>
    <col collapsed="false" customWidth="true" hidden="false" outlineLevel="0" max="7" min="7" style="3" width="17.29"/>
    <col collapsed="false" customWidth="true" hidden="false" outlineLevel="0" max="8" min="8" style="100" width="14"/>
    <col collapsed="false" customWidth="false" hidden="false" outlineLevel="0" max="9" min="9" style="1" width="30.71"/>
    <col collapsed="false" customWidth="true" hidden="false" outlineLevel="0" max="10" min="10" style="1" width="42.42"/>
    <col collapsed="false" customWidth="false" hidden="false" outlineLevel="0" max="15" min="11" style="2" width="30.71"/>
    <col collapsed="false" customWidth="false" hidden="false" outlineLevel="0" max="16384" min="16" style="1" width="30.71"/>
  </cols>
  <sheetData>
    <row r="1" customFormat="false" ht="20.25" hidden="false" customHeight="false" outlineLevel="0" collapsed="false">
      <c r="C1" s="1"/>
      <c r="G1" s="1"/>
    </row>
    <row r="2" customFormat="false" ht="24" hidden="false" customHeight="true" outlineLevel="0" collapsed="false">
      <c r="C2" s="1"/>
      <c r="G2" s="1"/>
    </row>
    <row r="3" customFormat="false" ht="22.5" hidden="false" customHeight="true" outlineLevel="0" collapsed="false">
      <c r="A3" s="5" t="s">
        <v>137</v>
      </c>
      <c r="B3" s="6" t="n">
        <v>10</v>
      </c>
      <c r="C3" s="6"/>
      <c r="D3" s="5"/>
      <c r="E3" s="5"/>
      <c r="F3" s="5"/>
      <c r="G3" s="5"/>
      <c r="H3" s="138"/>
    </row>
    <row r="4" customFormat="false" ht="20.25" hidden="false" customHeight="false" outlineLevel="0" collapsed="false">
      <c r="A4" s="5" t="s">
        <v>15</v>
      </c>
      <c r="B4" s="6" t="n">
        <v>150000</v>
      </c>
      <c r="C4" s="6"/>
      <c r="D4" s="5"/>
      <c r="E4" s="5"/>
      <c r="F4" s="5" t="s">
        <v>138</v>
      </c>
      <c r="G4" s="139"/>
      <c r="H4" s="138"/>
      <c r="J4" s="140" t="s">
        <v>138</v>
      </c>
      <c r="K4" s="141"/>
      <c r="L4" s="142"/>
    </row>
    <row r="5" s="8" customFormat="true" ht="58.5" hidden="false" customHeight="true" outlineLevel="0" collapsed="false">
      <c r="A5" s="7" t="s">
        <v>17</v>
      </c>
      <c r="B5" s="143"/>
      <c r="C5" s="143" t="s">
        <v>18</v>
      </c>
      <c r="D5" s="7" t="s">
        <v>19</v>
      </c>
      <c r="E5" s="143" t="s">
        <v>20</v>
      </c>
      <c r="F5" s="7" t="s">
        <v>139</v>
      </c>
      <c r="G5" s="144" t="s">
        <v>140</v>
      </c>
      <c r="H5" s="145" t="s">
        <v>141</v>
      </c>
      <c r="J5" s="146" t="s">
        <v>142</v>
      </c>
      <c r="K5" s="147" t="s">
        <v>143</v>
      </c>
      <c r="L5" s="147" t="s">
        <v>33</v>
      </c>
      <c r="M5" s="143" t="s">
        <v>144</v>
      </c>
      <c r="N5" s="143"/>
      <c r="O5" s="143"/>
      <c r="P5" s="1"/>
    </row>
    <row r="6" customFormat="false" ht="20.25" hidden="false" customHeight="false" outlineLevel="0" collapsed="false">
      <c r="A6" s="148" t="s">
        <v>145</v>
      </c>
      <c r="B6" s="149" t="s">
        <v>146</v>
      </c>
      <c r="C6" s="150" t="s">
        <v>42</v>
      </c>
      <c r="D6" s="149" t="s">
        <v>43</v>
      </c>
      <c r="E6" s="148"/>
      <c r="F6" s="148"/>
      <c r="G6" s="151"/>
      <c r="H6" s="152"/>
      <c r="J6" s="25" t="s">
        <v>145</v>
      </c>
      <c r="K6" s="153" t="n">
        <f aca="false">SUM(G7:G8)</f>
        <v>0.266666666666667</v>
      </c>
      <c r="L6" s="153" t="n">
        <f aca="false">SUM(G29:G30)</f>
        <v>0.266666666666667</v>
      </c>
      <c r="M6" s="153" t="n">
        <f aca="false">SUM(G53:G54)</f>
        <v>0.00888888888888889</v>
      </c>
      <c r="N6" s="153"/>
      <c r="O6" s="153"/>
    </row>
    <row r="7" customFormat="false" ht="20.25" hidden="false" customHeight="false" outlineLevel="0" collapsed="false">
      <c r="A7" s="5" t="s">
        <v>147</v>
      </c>
      <c r="B7" s="6" t="n">
        <f aca="false">$B$4</f>
        <v>150000</v>
      </c>
      <c r="C7" s="6" t="n">
        <v>1</v>
      </c>
      <c r="D7" s="154" t="n">
        <f aca="false">C7/B7</f>
        <v>6.66666666666667E-006</v>
      </c>
      <c r="E7" s="154" t="s">
        <v>148</v>
      </c>
      <c r="F7" s="155" t="n">
        <v>40000</v>
      </c>
      <c r="G7" s="154" t="n">
        <f aca="false">F7*D7</f>
        <v>0.266666666666667</v>
      </c>
      <c r="H7" s="156" t="n">
        <f aca="false">G7/G$20</f>
        <v>0.561510006639477</v>
      </c>
      <c r="J7" s="36" t="s">
        <v>149</v>
      </c>
      <c r="K7" s="153" t="n">
        <f aca="false">SUM(G10:G11)</f>
        <v>0.0466666666666667</v>
      </c>
      <c r="L7" s="153" t="n">
        <f aca="false">SUM(G32:G33)</f>
        <v>0.0355555555555556</v>
      </c>
      <c r="M7" s="62" t="n">
        <f aca="false">SUM(G56:G58)</f>
        <v>0.395555555555556</v>
      </c>
      <c r="N7" s="62"/>
      <c r="O7" s="62"/>
    </row>
    <row r="8" customFormat="false" ht="20.25" hidden="false" customHeight="false" outlineLevel="0" collapsed="false">
      <c r="A8" s="5" t="s">
        <v>150</v>
      </c>
      <c r="B8" s="6" t="n">
        <f aca="false">$B$4</f>
        <v>150000</v>
      </c>
      <c r="C8" s="6" t="n">
        <v>1</v>
      </c>
      <c r="D8" s="154" t="n">
        <f aca="false">C8/B8</f>
        <v>6.66666666666667E-006</v>
      </c>
      <c r="E8" s="154" t="s">
        <v>148</v>
      </c>
      <c r="F8" s="155"/>
      <c r="G8" s="154" t="n">
        <f aca="false">F8*D8</f>
        <v>0</v>
      </c>
      <c r="H8" s="156" t="n">
        <f aca="false">G8/G$20</f>
        <v>0</v>
      </c>
      <c r="J8" s="25" t="s">
        <v>151</v>
      </c>
      <c r="K8" s="157" t="n">
        <f aca="false">SUM(G13:G14)</f>
        <v>0.105</v>
      </c>
      <c r="L8" s="157" t="n">
        <f aca="false">SUM(G35:G36)</f>
        <v>0.06</v>
      </c>
      <c r="M8" s="157" t="n">
        <f aca="false">SUM(G60:G61)</f>
        <v>0</v>
      </c>
      <c r="N8" s="157"/>
      <c r="O8" s="157"/>
    </row>
    <row r="9" customFormat="false" ht="20.25" hidden="false" customHeight="false" outlineLevel="0" collapsed="false">
      <c r="A9" s="148" t="s">
        <v>149</v>
      </c>
      <c r="B9" s="149" t="s">
        <v>152</v>
      </c>
      <c r="C9" s="150" t="s">
        <v>153</v>
      </c>
      <c r="D9" s="149" t="s">
        <v>43</v>
      </c>
      <c r="E9" s="158"/>
      <c r="F9" s="158"/>
      <c r="G9" s="159"/>
      <c r="H9" s="160"/>
      <c r="J9" s="25" t="s">
        <v>154</v>
      </c>
      <c r="K9" s="62" t="n">
        <f aca="false">G16</f>
        <v>0.0765765765765766</v>
      </c>
      <c r="L9" s="62" t="n">
        <f aca="false">G38</f>
        <v>0.13</v>
      </c>
      <c r="M9" s="62" t="n">
        <f aca="false">SUM(G63)</f>
        <v>0.13</v>
      </c>
      <c r="N9" s="62"/>
      <c r="O9" s="62"/>
    </row>
    <row r="10" customFormat="false" ht="20.25" hidden="false" customHeight="false" outlineLevel="0" collapsed="false">
      <c r="A10" s="5" t="s">
        <v>155</v>
      </c>
      <c r="B10" s="6" t="n">
        <v>15000</v>
      </c>
      <c r="C10" s="161" t="n">
        <v>1</v>
      </c>
      <c r="D10" s="154" t="n">
        <f aca="false">C10/B10</f>
        <v>6.66666666666667E-005</v>
      </c>
      <c r="E10" s="6" t="s">
        <v>148</v>
      </c>
      <c r="F10" s="155" t="n">
        <v>500</v>
      </c>
      <c r="G10" s="162" t="n">
        <f aca="false">F10*$D10</f>
        <v>0.0333333333333333</v>
      </c>
      <c r="H10" s="156" t="n">
        <f aca="false">G10/G$20</f>
        <v>0.0701887508299346</v>
      </c>
      <c r="J10" s="25" t="s">
        <v>156</v>
      </c>
      <c r="K10" s="32" t="n">
        <f aca="false">G18</f>
        <v>-0.02</v>
      </c>
      <c r="L10" s="32" t="n">
        <f aca="false">G40</f>
        <v>-0.0133333333333333</v>
      </c>
      <c r="M10" s="32" t="n">
        <f aca="false">G65</f>
        <v>0</v>
      </c>
      <c r="N10" s="32"/>
      <c r="O10" s="32"/>
    </row>
    <row r="11" customFormat="false" ht="20.25" hidden="false" customHeight="false" outlineLevel="0" collapsed="false">
      <c r="A11" s="5" t="s">
        <v>157</v>
      </c>
      <c r="B11" s="6" t="n">
        <f aca="false">B4/B3</f>
        <v>15000</v>
      </c>
      <c r="C11" s="161" t="n">
        <v>1</v>
      </c>
      <c r="D11" s="154" t="n">
        <f aca="false">C11/B11</f>
        <v>6.66666666666667E-005</v>
      </c>
      <c r="E11" s="6" t="s">
        <v>148</v>
      </c>
      <c r="F11" s="155" t="n">
        <v>200</v>
      </c>
      <c r="G11" s="162" t="n">
        <f aca="false">F11*$D11</f>
        <v>0.0133333333333333</v>
      </c>
      <c r="H11" s="156" t="n">
        <f aca="false">G11/G$20</f>
        <v>0.0280755003319738</v>
      </c>
      <c r="J11" s="5" t="s">
        <v>100</v>
      </c>
      <c r="K11" s="155" t="n">
        <f aca="false">SUM(K6:K10)</f>
        <v>0.47490990990991</v>
      </c>
      <c r="L11" s="155" t="n">
        <f aca="false">SUM(L6:L10)</f>
        <v>0.478888888888889</v>
      </c>
      <c r="M11" s="155" t="n">
        <f aca="false">SUM(M6:M10)</f>
        <v>0.534444444444445</v>
      </c>
      <c r="N11" s="155"/>
      <c r="O11" s="155"/>
    </row>
    <row r="12" customFormat="false" ht="20.25" hidden="false" customHeight="false" outlineLevel="0" collapsed="false">
      <c r="A12" s="148" t="s">
        <v>158</v>
      </c>
      <c r="B12" s="149" t="s">
        <v>159</v>
      </c>
      <c r="C12" s="163"/>
      <c r="D12" s="149" t="s">
        <v>43</v>
      </c>
      <c r="E12" s="158"/>
      <c r="F12" s="158"/>
      <c r="G12" s="159"/>
      <c r="H12" s="160"/>
    </row>
    <row r="13" customFormat="false" ht="20.25" hidden="false" customHeight="false" outlineLevel="0" collapsed="false">
      <c r="A13" s="5" t="s">
        <v>160</v>
      </c>
      <c r="B13" s="164" t="n">
        <v>10000</v>
      </c>
      <c r="C13" s="161" t="n">
        <v>1</v>
      </c>
      <c r="D13" s="154" t="n">
        <f aca="false">C13/B13</f>
        <v>0.0001</v>
      </c>
      <c r="E13" s="6" t="s">
        <v>148</v>
      </c>
      <c r="F13" s="155" t="n">
        <v>750</v>
      </c>
      <c r="G13" s="162" t="n">
        <f aca="false">F13*$D13</f>
        <v>0.075</v>
      </c>
      <c r="H13" s="156" t="n">
        <f aca="false">G13/G$20</f>
        <v>0.157924689367353</v>
      </c>
    </row>
    <row r="14" customFormat="false" ht="20.25" hidden="false" customHeight="false" outlineLevel="0" collapsed="false">
      <c r="A14" s="5" t="s">
        <v>161</v>
      </c>
      <c r="B14" s="6" t="n">
        <v>20000</v>
      </c>
      <c r="C14" s="161" t="n">
        <v>4</v>
      </c>
      <c r="D14" s="154" t="n">
        <f aca="false">C14/B14</f>
        <v>0.0002</v>
      </c>
      <c r="E14" s="6" t="s">
        <v>148</v>
      </c>
      <c r="F14" s="155" t="n">
        <v>150</v>
      </c>
      <c r="G14" s="162" t="n">
        <f aca="false">F14*$D14</f>
        <v>0.03</v>
      </c>
      <c r="H14" s="156" t="n">
        <f aca="false">G14/G$20</f>
        <v>0.0631698757469411</v>
      </c>
      <c r="J14" s="2"/>
    </row>
    <row r="15" customFormat="false" ht="20.25" hidden="false" customHeight="false" outlineLevel="0" collapsed="false">
      <c r="A15" s="148" t="s">
        <v>154</v>
      </c>
      <c r="B15" s="149" t="s">
        <v>162</v>
      </c>
      <c r="C15" s="150" t="s">
        <v>90</v>
      </c>
      <c r="D15" s="149" t="s">
        <v>43</v>
      </c>
      <c r="E15" s="158"/>
      <c r="F15" s="158"/>
      <c r="G15" s="159"/>
      <c r="H15" s="160"/>
    </row>
    <row r="16" customFormat="false" ht="20.25" hidden="false" customHeight="false" outlineLevel="0" collapsed="false">
      <c r="A16" s="5" t="s">
        <v>91</v>
      </c>
      <c r="B16" s="6" t="n">
        <v>1</v>
      </c>
      <c r="C16" s="165" t="n">
        <f aca="false">1/22.2</f>
        <v>0.0450450450450451</v>
      </c>
      <c r="D16" s="166" t="n">
        <f aca="false">C16/B16</f>
        <v>0.0450450450450451</v>
      </c>
      <c r="E16" s="6" t="s">
        <v>163</v>
      </c>
      <c r="F16" s="155" t="n">
        <v>1.7</v>
      </c>
      <c r="G16" s="162" t="n">
        <f aca="false">F16*$D16</f>
        <v>0.0765765765765766</v>
      </c>
      <c r="H16" s="156" t="n">
        <f aca="false">G16/G$20</f>
        <v>0.161244427582282</v>
      </c>
    </row>
    <row r="17" customFormat="false" ht="20.25" hidden="false" customHeight="false" outlineLevel="0" collapsed="false">
      <c r="A17" s="148" t="s">
        <v>164</v>
      </c>
      <c r="B17" s="149"/>
      <c r="C17" s="150" t="s">
        <v>42</v>
      </c>
      <c r="D17" s="149" t="s">
        <v>43</v>
      </c>
      <c r="E17" s="158"/>
      <c r="F17" s="158"/>
      <c r="G17" s="159"/>
      <c r="H17" s="160"/>
    </row>
    <row r="18" customFormat="false" ht="20.25" hidden="false" customHeight="false" outlineLevel="0" collapsed="false">
      <c r="A18" s="5" t="s">
        <v>165</v>
      </c>
      <c r="B18" s="6" t="n">
        <f aca="false">$B$4</f>
        <v>150000</v>
      </c>
      <c r="C18" s="155" t="n">
        <v>-1</v>
      </c>
      <c r="D18" s="154" t="n">
        <f aca="false">C18/B18</f>
        <v>-6.66666666666667E-006</v>
      </c>
      <c r="E18" s="6" t="s">
        <v>148</v>
      </c>
      <c r="F18" s="155" t="n">
        <v>3000</v>
      </c>
      <c r="G18" s="154" t="n">
        <f aca="false">F18*$D18</f>
        <v>-0.02</v>
      </c>
      <c r="H18" s="156" t="n">
        <f aca="false">G18/G$20</f>
        <v>-0.0421132504979607</v>
      </c>
    </row>
    <row r="19" customFormat="false" ht="20.25" hidden="false" customHeight="false" outlineLevel="0" collapsed="false">
      <c r="A19" s="148" t="s">
        <v>100</v>
      </c>
      <c r="B19" s="149"/>
      <c r="C19" s="150"/>
      <c r="D19" s="149" t="s">
        <v>43</v>
      </c>
      <c r="E19" s="158"/>
      <c r="F19" s="158"/>
      <c r="G19" s="159"/>
      <c r="H19" s="160"/>
    </row>
    <row r="20" customFormat="false" ht="20.25" hidden="false" customHeight="false" outlineLevel="0" collapsed="false">
      <c r="A20" s="5" t="s">
        <v>100</v>
      </c>
      <c r="B20" s="6"/>
      <c r="C20" s="155" t="s">
        <v>101</v>
      </c>
      <c r="D20" s="6"/>
      <c r="E20" s="6" t="s">
        <v>101</v>
      </c>
      <c r="F20" s="6"/>
      <c r="G20" s="167" t="n">
        <f aca="false">SUM(G7:G18)</f>
        <v>0.47490990990991</v>
      </c>
      <c r="H20" s="156" t="n">
        <f aca="false">G20/G$20</f>
        <v>1</v>
      </c>
    </row>
    <row r="21" customFormat="false" ht="20.25" hidden="false" customHeight="false" outlineLevel="0" collapsed="false">
      <c r="A21" s="5"/>
      <c r="B21" s="6"/>
      <c r="C21" s="155"/>
      <c r="D21" s="6"/>
      <c r="E21" s="6"/>
      <c r="F21" s="6"/>
      <c r="G21" s="162"/>
      <c r="H21" s="156" t="n">
        <f aca="false">SUM(H7:H17)</f>
        <v>1.04211325049796</v>
      </c>
    </row>
    <row r="22" customFormat="false" ht="20.25" hidden="false" customHeight="false" outlineLevel="0" collapsed="false">
      <c r="A22" s="5"/>
      <c r="B22" s="6"/>
      <c r="C22" s="155"/>
      <c r="D22" s="6"/>
      <c r="E22" s="6"/>
      <c r="F22" s="6"/>
      <c r="G22" s="162"/>
      <c r="H22" s="156"/>
      <c r="K22" s="93"/>
      <c r="L22" s="93"/>
      <c r="M22" s="93"/>
      <c r="N22" s="93"/>
      <c r="O22" s="93"/>
    </row>
    <row r="23" customFormat="false" ht="20.25" hidden="false" customHeight="false" outlineLevel="0" collapsed="false">
      <c r="K23" s="93"/>
      <c r="L23" s="93"/>
      <c r="M23" s="93"/>
      <c r="N23" s="93"/>
      <c r="O23" s="93"/>
    </row>
    <row r="25" customFormat="false" ht="20.25" hidden="false" customHeight="false" outlineLevel="0" collapsed="false">
      <c r="A25" s="5" t="s">
        <v>137</v>
      </c>
      <c r="B25" s="6" t="n">
        <v>10</v>
      </c>
      <c r="C25" s="5"/>
      <c r="D25" s="5"/>
      <c r="E25" s="5"/>
      <c r="F25" s="5"/>
      <c r="G25" s="139"/>
      <c r="H25" s="138"/>
    </row>
    <row r="26" customFormat="false" ht="20.25" hidden="false" customHeight="false" outlineLevel="0" collapsed="false">
      <c r="A26" s="5" t="s">
        <v>15</v>
      </c>
      <c r="B26" s="6" t="n">
        <v>225000</v>
      </c>
      <c r="C26" s="5"/>
      <c r="D26" s="5"/>
      <c r="E26" s="5"/>
      <c r="F26" s="5" t="s">
        <v>138</v>
      </c>
      <c r="G26" s="139"/>
      <c r="H26" s="138"/>
    </row>
    <row r="27" customFormat="false" ht="55.25" hidden="false" customHeight="false" outlineLevel="0" collapsed="false">
      <c r="A27" s="7" t="s">
        <v>166</v>
      </c>
      <c r="B27" s="143"/>
      <c r="C27" s="143" t="s">
        <v>18</v>
      </c>
      <c r="D27" s="7" t="s">
        <v>19</v>
      </c>
      <c r="E27" s="143" t="s">
        <v>20</v>
      </c>
      <c r="F27" s="7" t="s">
        <v>139</v>
      </c>
      <c r="G27" s="144" t="s">
        <v>140</v>
      </c>
      <c r="H27" s="145" t="s">
        <v>141</v>
      </c>
    </row>
    <row r="28" customFormat="false" ht="20.25" hidden="false" customHeight="false" outlineLevel="0" collapsed="false">
      <c r="A28" s="148" t="s">
        <v>145</v>
      </c>
      <c r="B28" s="149" t="s">
        <v>146</v>
      </c>
      <c r="C28" s="150" t="s">
        <v>42</v>
      </c>
      <c r="D28" s="149" t="s">
        <v>43</v>
      </c>
      <c r="E28" s="148"/>
      <c r="F28" s="148"/>
      <c r="G28" s="151"/>
      <c r="H28" s="152"/>
    </row>
    <row r="29" customFormat="false" ht="20.25" hidden="false" customHeight="false" outlineLevel="0" collapsed="false">
      <c r="A29" s="5" t="s">
        <v>165</v>
      </c>
      <c r="B29" s="6" t="n">
        <f aca="false">$B$26</f>
        <v>225000</v>
      </c>
      <c r="C29" s="6" t="n">
        <v>1</v>
      </c>
      <c r="D29" s="154" t="n">
        <f aca="false">C29/B29</f>
        <v>4.44444444444444E-006</v>
      </c>
      <c r="E29" s="154" t="s">
        <v>148</v>
      </c>
      <c r="F29" s="155" t="n">
        <v>60000</v>
      </c>
      <c r="G29" s="154" t="n">
        <f aca="false">F29*D29</f>
        <v>0.266666666666667</v>
      </c>
      <c r="H29" s="156" t="n">
        <f aca="false">G29/G$42</f>
        <v>0.556844547563805</v>
      </c>
    </row>
    <row r="30" customFormat="false" ht="20.25" hidden="false" customHeight="false" outlineLevel="0" collapsed="false">
      <c r="A30" s="5" t="s">
        <v>150</v>
      </c>
      <c r="B30" s="6" t="n">
        <f aca="false">$B$26</f>
        <v>225000</v>
      </c>
      <c r="C30" s="6" t="n">
        <v>1</v>
      </c>
      <c r="D30" s="154" t="n">
        <f aca="false">C30/B30</f>
        <v>4.44444444444444E-006</v>
      </c>
      <c r="E30" s="154" t="s">
        <v>148</v>
      </c>
      <c r="F30" s="155"/>
      <c r="G30" s="154" t="n">
        <f aca="false">F30*D30</f>
        <v>0</v>
      </c>
      <c r="H30" s="156" t="n">
        <f aca="false">G30/G$42</f>
        <v>0</v>
      </c>
    </row>
    <row r="31" customFormat="false" ht="20.25" hidden="false" customHeight="false" outlineLevel="0" collapsed="false">
      <c r="A31" s="148" t="s">
        <v>149</v>
      </c>
      <c r="B31" s="149"/>
      <c r="C31" s="150" t="s">
        <v>167</v>
      </c>
      <c r="D31" s="149" t="s">
        <v>43</v>
      </c>
      <c r="E31" s="158"/>
      <c r="F31" s="158"/>
      <c r="G31" s="159"/>
      <c r="H31" s="160"/>
    </row>
    <row r="32" customFormat="false" ht="20.25" hidden="false" customHeight="false" outlineLevel="0" collapsed="false">
      <c r="A32" s="5" t="s">
        <v>155</v>
      </c>
      <c r="B32" s="6" t="n">
        <v>22500</v>
      </c>
      <c r="C32" s="155" t="n">
        <v>1</v>
      </c>
      <c r="D32" s="154" t="n">
        <f aca="false">C32/B32</f>
        <v>4.44444444444444E-005</v>
      </c>
      <c r="E32" s="6" t="s">
        <v>148</v>
      </c>
      <c r="F32" s="155" t="n">
        <v>700</v>
      </c>
      <c r="G32" s="162" t="n">
        <f aca="false">F32*$D32</f>
        <v>0.0311111111111111</v>
      </c>
      <c r="H32" s="156" t="n">
        <f aca="false">G32/G$42</f>
        <v>0.0649651972157773</v>
      </c>
    </row>
    <row r="33" customFormat="false" ht="20.25" hidden="false" customHeight="false" outlineLevel="0" collapsed="false">
      <c r="A33" s="5" t="s">
        <v>168</v>
      </c>
      <c r="B33" s="6" t="n">
        <v>22500</v>
      </c>
      <c r="C33" s="155" t="n">
        <v>1</v>
      </c>
      <c r="D33" s="154" t="n">
        <f aca="false">C33/B33</f>
        <v>4.44444444444444E-005</v>
      </c>
      <c r="E33" s="6" t="s">
        <v>148</v>
      </c>
      <c r="F33" s="155" t="n">
        <v>100</v>
      </c>
      <c r="G33" s="162" t="n">
        <f aca="false">F33*$D33</f>
        <v>0.00444444444444444</v>
      </c>
      <c r="H33" s="156" t="n">
        <f aca="false">G33/G$42</f>
        <v>0.00928074245939675</v>
      </c>
    </row>
    <row r="34" customFormat="false" ht="20.25" hidden="false" customHeight="false" outlineLevel="0" collapsed="false">
      <c r="A34" s="148" t="s">
        <v>151</v>
      </c>
      <c r="B34" s="149"/>
      <c r="C34" s="150"/>
      <c r="D34" s="149" t="s">
        <v>43</v>
      </c>
      <c r="E34" s="158"/>
      <c r="F34" s="158"/>
      <c r="G34" s="159"/>
      <c r="H34" s="160"/>
    </row>
    <row r="35" customFormat="false" ht="20.25" hidden="false" customHeight="false" outlineLevel="0" collapsed="false">
      <c r="A35" s="5" t="s">
        <v>160</v>
      </c>
      <c r="B35" s="164" t="n">
        <v>10000</v>
      </c>
      <c r="C35" s="155" t="n">
        <v>1</v>
      </c>
      <c r="D35" s="154" t="n">
        <f aca="false">C35/B35</f>
        <v>0.0001</v>
      </c>
      <c r="E35" s="6" t="s">
        <v>148</v>
      </c>
      <c r="F35" s="155" t="n">
        <v>300</v>
      </c>
      <c r="G35" s="162" t="n">
        <f aca="false">F35*$D35</f>
        <v>0.03</v>
      </c>
      <c r="H35" s="156" t="n">
        <f aca="false">G35/G$42</f>
        <v>0.0626450116009281</v>
      </c>
    </row>
    <row r="36" customFormat="false" ht="20.25" hidden="false" customHeight="false" outlineLevel="0" collapsed="false">
      <c r="A36" s="5" t="s">
        <v>161</v>
      </c>
      <c r="B36" s="6" t="n">
        <v>20000</v>
      </c>
      <c r="C36" s="155" t="n">
        <v>4</v>
      </c>
      <c r="D36" s="154" t="n">
        <f aca="false">C36/B36</f>
        <v>0.0002</v>
      </c>
      <c r="E36" s="6" t="s">
        <v>148</v>
      </c>
      <c r="F36" s="155" t="n">
        <v>150</v>
      </c>
      <c r="G36" s="162" t="n">
        <f aca="false">F36*$D36</f>
        <v>0.03</v>
      </c>
      <c r="H36" s="156" t="n">
        <f aca="false">G36/G$42</f>
        <v>0.0626450116009281</v>
      </c>
    </row>
    <row r="37" customFormat="false" ht="20.25" hidden="false" customHeight="false" outlineLevel="0" collapsed="false">
      <c r="A37" s="148" t="s">
        <v>154</v>
      </c>
      <c r="B37" s="149"/>
      <c r="C37" s="150" t="s">
        <v>90</v>
      </c>
      <c r="D37" s="149" t="s">
        <v>43</v>
      </c>
      <c r="E37" s="158"/>
      <c r="F37" s="158"/>
      <c r="G37" s="159"/>
      <c r="H37" s="160"/>
    </row>
    <row r="38" customFormat="false" ht="20.25" hidden="false" customHeight="false" outlineLevel="0" collapsed="false">
      <c r="A38" s="5" t="s">
        <v>169</v>
      </c>
      <c r="B38" s="6" t="n">
        <v>1</v>
      </c>
      <c r="C38" s="168" t="n">
        <v>0.26</v>
      </c>
      <c r="D38" s="166" t="n">
        <f aca="false">C38/B38</f>
        <v>0.26</v>
      </c>
      <c r="E38" s="6" t="s">
        <v>82</v>
      </c>
      <c r="F38" s="168" t="n">
        <v>0.5</v>
      </c>
      <c r="G38" s="162" t="n">
        <f aca="false">F38*$D38</f>
        <v>0.13</v>
      </c>
      <c r="H38" s="156" t="n">
        <f aca="false">G38/G$42</f>
        <v>0.271461716937355</v>
      </c>
    </row>
    <row r="39" customFormat="false" ht="20.25" hidden="false" customHeight="false" outlineLevel="0" collapsed="false">
      <c r="A39" s="148" t="s">
        <v>164</v>
      </c>
      <c r="B39" s="149"/>
      <c r="C39" s="150" t="s">
        <v>42</v>
      </c>
      <c r="D39" s="149" t="s">
        <v>43</v>
      </c>
      <c r="E39" s="158"/>
      <c r="F39" s="158"/>
      <c r="G39" s="159"/>
      <c r="H39" s="160"/>
    </row>
    <row r="40" customFormat="false" ht="20.25" hidden="false" customHeight="false" outlineLevel="0" collapsed="false">
      <c r="A40" s="5" t="s">
        <v>165</v>
      </c>
      <c r="B40" s="6" t="n">
        <f aca="false">$B$26</f>
        <v>225000</v>
      </c>
      <c r="C40" s="155" t="n">
        <v>-1</v>
      </c>
      <c r="D40" s="154" t="n">
        <f aca="false">C40/B40</f>
        <v>-4.44444444444444E-006</v>
      </c>
      <c r="E40" s="6" t="s">
        <v>148</v>
      </c>
      <c r="F40" s="155" t="n">
        <v>3000</v>
      </c>
      <c r="G40" s="154" t="n">
        <f aca="false">F40*$D40</f>
        <v>-0.0133333333333333</v>
      </c>
      <c r="H40" s="156" t="n">
        <f aca="false">G40/G$42</f>
        <v>-0.0278422273781903</v>
      </c>
    </row>
    <row r="41" customFormat="false" ht="20.25" hidden="false" customHeight="false" outlineLevel="0" collapsed="false">
      <c r="A41" s="148" t="s">
        <v>100</v>
      </c>
      <c r="B41" s="149"/>
      <c r="C41" s="150"/>
      <c r="D41" s="149" t="s">
        <v>43</v>
      </c>
      <c r="E41" s="158"/>
      <c r="F41" s="158"/>
      <c r="G41" s="159"/>
      <c r="H41" s="160"/>
    </row>
    <row r="42" customFormat="false" ht="47.25" hidden="false" customHeight="true" outlineLevel="0" collapsed="false">
      <c r="A42" s="5" t="s">
        <v>100</v>
      </c>
      <c r="B42" s="6"/>
      <c r="C42" s="155" t="s">
        <v>101</v>
      </c>
      <c r="D42" s="6"/>
      <c r="E42" s="6" t="s">
        <v>101</v>
      </c>
      <c r="F42" s="6"/>
      <c r="G42" s="167" t="n">
        <f aca="false">SUM(G29:G40)</f>
        <v>0.478888888888889</v>
      </c>
      <c r="H42" s="156" t="n">
        <f aca="false">G42/G$42</f>
        <v>1</v>
      </c>
    </row>
    <row r="43" customFormat="false" ht="20.25" hidden="false" customHeight="false" outlineLevel="0" collapsed="false">
      <c r="A43" s="5"/>
      <c r="B43" s="6"/>
      <c r="C43" s="155"/>
      <c r="D43" s="6"/>
      <c r="E43" s="6"/>
      <c r="F43" s="6"/>
      <c r="G43" s="162"/>
      <c r="H43" s="156" t="n">
        <f aca="false">SUM(H29:H39)</f>
        <v>1.02784222737819</v>
      </c>
    </row>
    <row r="44" customFormat="false" ht="20.25" hidden="false" customHeight="false" outlineLevel="0" collapsed="false">
      <c r="A44" s="5"/>
      <c r="B44" s="6"/>
      <c r="C44" s="155"/>
      <c r="D44" s="6"/>
      <c r="E44" s="6"/>
      <c r="F44" s="6"/>
      <c r="G44" s="162"/>
      <c r="H44" s="156"/>
    </row>
    <row r="45" customFormat="false" ht="20.25" hidden="false" customHeight="false" outlineLevel="0" collapsed="false">
      <c r="C45" s="1"/>
      <c r="G45" s="1"/>
    </row>
    <row r="46" customFormat="false" ht="20.25" hidden="false" customHeight="false" outlineLevel="0" collapsed="false">
      <c r="C46" s="1"/>
      <c r="G46" s="1"/>
    </row>
    <row r="47" customFormat="false" ht="20.25" hidden="false" customHeight="false" outlineLevel="0" collapsed="false">
      <c r="A47" s="125"/>
      <c r="C47" s="1"/>
      <c r="G47" s="1"/>
    </row>
    <row r="48" customFormat="false" ht="20.25" hidden="false" customHeight="false" outlineLevel="0" collapsed="false">
      <c r="C48" s="1"/>
      <c r="G48" s="1"/>
    </row>
    <row r="49" customFormat="false" ht="20.25" hidden="false" customHeight="false" outlineLevel="0" collapsed="false">
      <c r="A49" s="5" t="s">
        <v>137</v>
      </c>
      <c r="B49" s="6" t="n">
        <v>10</v>
      </c>
      <c r="C49" s="5"/>
      <c r="D49" s="5"/>
      <c r="E49" s="5"/>
      <c r="F49" s="5"/>
      <c r="G49" s="139"/>
      <c r="H49" s="138"/>
    </row>
    <row r="50" customFormat="false" ht="20.25" hidden="false" customHeight="false" outlineLevel="0" collapsed="false">
      <c r="A50" s="5" t="s">
        <v>15</v>
      </c>
      <c r="B50" s="6" t="n">
        <v>225000</v>
      </c>
      <c r="C50" s="5"/>
      <c r="D50" s="5"/>
      <c r="E50" s="5"/>
      <c r="F50" s="5" t="s">
        <v>138</v>
      </c>
      <c r="G50" s="139"/>
      <c r="H50" s="138"/>
    </row>
    <row r="51" customFormat="false" ht="55.25" hidden="false" customHeight="false" outlineLevel="0" collapsed="false">
      <c r="A51" s="7" t="s">
        <v>170</v>
      </c>
      <c r="B51" s="143"/>
      <c r="C51" s="143" t="s">
        <v>18</v>
      </c>
      <c r="D51" s="7" t="s">
        <v>19</v>
      </c>
      <c r="E51" s="143" t="s">
        <v>20</v>
      </c>
      <c r="F51" s="7" t="s">
        <v>139</v>
      </c>
      <c r="G51" s="144" t="s">
        <v>140</v>
      </c>
      <c r="H51" s="145" t="s">
        <v>141</v>
      </c>
    </row>
    <row r="52" customFormat="false" ht="20.25" hidden="false" customHeight="false" outlineLevel="0" collapsed="false">
      <c r="A52" s="148" t="s">
        <v>145</v>
      </c>
      <c r="B52" s="149" t="s">
        <v>146</v>
      </c>
      <c r="C52" s="150" t="s">
        <v>42</v>
      </c>
      <c r="D52" s="149" t="s">
        <v>43</v>
      </c>
      <c r="E52" s="148"/>
      <c r="F52" s="148"/>
      <c r="G52" s="151"/>
      <c r="H52" s="152"/>
    </row>
    <row r="53" customFormat="false" ht="20.25" hidden="false" customHeight="false" outlineLevel="0" collapsed="false">
      <c r="A53" s="5" t="s">
        <v>171</v>
      </c>
      <c r="B53" s="6" t="n">
        <f aca="false">B$50</f>
        <v>225000</v>
      </c>
      <c r="C53" s="6" t="n">
        <v>1</v>
      </c>
      <c r="D53" s="154" t="n">
        <f aca="false">C53/B53</f>
        <v>4.44444444444444E-006</v>
      </c>
      <c r="E53" s="154" t="s">
        <v>148</v>
      </c>
      <c r="F53" s="155" t="n">
        <v>2000</v>
      </c>
      <c r="G53" s="154" t="n">
        <f aca="false">F53*D53</f>
        <v>0.00888888888888889</v>
      </c>
      <c r="H53" s="156" t="n">
        <f aca="false">G53/G$67</f>
        <v>0.0166320166320166</v>
      </c>
    </row>
    <row r="54" customFormat="false" ht="20.25" hidden="false" customHeight="false" outlineLevel="0" collapsed="false">
      <c r="A54" s="5" t="s">
        <v>150</v>
      </c>
      <c r="B54" s="6" t="n">
        <f aca="false">B$50</f>
        <v>225000</v>
      </c>
      <c r="C54" s="6" t="n">
        <v>1</v>
      </c>
      <c r="D54" s="154" t="n">
        <f aca="false">C54/B54</f>
        <v>4.44444444444444E-006</v>
      </c>
      <c r="E54" s="154" t="s">
        <v>148</v>
      </c>
      <c r="F54" s="155" t="n">
        <v>0</v>
      </c>
      <c r="G54" s="154" t="n">
        <f aca="false">F54*D54</f>
        <v>0</v>
      </c>
      <c r="H54" s="156" t="n">
        <f aca="false">G54/G$67</f>
        <v>0</v>
      </c>
    </row>
    <row r="55" customFormat="false" ht="20.25" hidden="false" customHeight="false" outlineLevel="0" collapsed="false">
      <c r="A55" s="148" t="s">
        <v>149</v>
      </c>
      <c r="B55" s="149"/>
      <c r="C55" s="150" t="s">
        <v>167</v>
      </c>
      <c r="D55" s="149" t="s">
        <v>43</v>
      </c>
      <c r="E55" s="158"/>
      <c r="F55" s="158"/>
      <c r="G55" s="159"/>
      <c r="H55" s="160"/>
    </row>
    <row r="56" customFormat="false" ht="20.25" hidden="false" customHeight="false" outlineLevel="0" collapsed="false">
      <c r="A56" s="5" t="s">
        <v>155</v>
      </c>
      <c r="B56" s="6" t="n">
        <v>22500</v>
      </c>
      <c r="C56" s="155" t="n">
        <v>1</v>
      </c>
      <c r="D56" s="154" t="n">
        <f aca="false">C56/B56</f>
        <v>4.44444444444444E-005</v>
      </c>
      <c r="E56" s="6" t="s">
        <v>148</v>
      </c>
      <c r="F56" s="155" t="n">
        <v>0</v>
      </c>
      <c r="G56" s="162" t="n">
        <f aca="false">F56*$D56</f>
        <v>0</v>
      </c>
      <c r="H56" s="156" t="n">
        <f aca="false">G56/G$67</f>
        <v>0</v>
      </c>
    </row>
    <row r="57" customFormat="false" ht="20.25" hidden="false" customHeight="false" outlineLevel="0" collapsed="false">
      <c r="A57" s="5" t="s">
        <v>168</v>
      </c>
      <c r="B57" s="6" t="n">
        <v>22500</v>
      </c>
      <c r="C57" s="155" t="n">
        <v>1</v>
      </c>
      <c r="D57" s="154" t="n">
        <f aca="false">C57/B57</f>
        <v>4.44444444444444E-005</v>
      </c>
      <c r="E57" s="6" t="s">
        <v>148</v>
      </c>
      <c r="F57" s="155" t="n">
        <v>100</v>
      </c>
      <c r="G57" s="162" t="n">
        <f aca="false">F57*$D57</f>
        <v>0.00444444444444444</v>
      </c>
      <c r="H57" s="156" t="n">
        <f aca="false">G57/G$67</f>
        <v>0.00831600831600832</v>
      </c>
    </row>
    <row r="58" customFormat="false" ht="20.25" hidden="false" customHeight="false" outlineLevel="0" collapsed="false">
      <c r="A58" s="169" t="s">
        <v>172</v>
      </c>
      <c r="B58" s="168" t="n">
        <v>22500</v>
      </c>
      <c r="C58" s="170" t="n">
        <v>1</v>
      </c>
      <c r="D58" s="166" t="n">
        <f aca="false">C58/B58</f>
        <v>4.44444444444444E-005</v>
      </c>
      <c r="E58" s="168" t="s">
        <v>148</v>
      </c>
      <c r="F58" s="170" t="n">
        <v>8800</v>
      </c>
      <c r="G58" s="171" t="n">
        <f aca="false">F58*$D58</f>
        <v>0.391111111111111</v>
      </c>
      <c r="H58" s="172" t="n">
        <f aca="false">G58/G$67</f>
        <v>0.731808731808732</v>
      </c>
    </row>
    <row r="59" customFormat="false" ht="20.25" hidden="false" customHeight="false" outlineLevel="0" collapsed="false">
      <c r="A59" s="148" t="s">
        <v>151</v>
      </c>
      <c r="B59" s="149"/>
      <c r="C59" s="150"/>
      <c r="D59" s="149" t="s">
        <v>43</v>
      </c>
      <c r="E59" s="158"/>
      <c r="F59" s="158"/>
      <c r="G59" s="159"/>
      <c r="H59" s="160"/>
    </row>
    <row r="60" customFormat="false" ht="20.25" hidden="false" customHeight="false" outlineLevel="0" collapsed="false">
      <c r="A60" s="5" t="s">
        <v>160</v>
      </c>
      <c r="B60" s="164" t="n">
        <v>10000</v>
      </c>
      <c r="C60" s="155" t="n">
        <v>1</v>
      </c>
      <c r="D60" s="154" t="n">
        <f aca="false">C60/B60</f>
        <v>0.0001</v>
      </c>
      <c r="E60" s="6" t="s">
        <v>148</v>
      </c>
      <c r="F60" s="155" t="n">
        <v>0</v>
      </c>
      <c r="G60" s="162" t="n">
        <f aca="false">F60*$D60</f>
        <v>0</v>
      </c>
      <c r="H60" s="156" t="n">
        <f aca="false">G60/G$67</f>
        <v>0</v>
      </c>
    </row>
    <row r="61" customFormat="false" ht="20.25" hidden="false" customHeight="false" outlineLevel="0" collapsed="false">
      <c r="A61" s="5" t="s">
        <v>161</v>
      </c>
      <c r="B61" s="6" t="n">
        <v>20000</v>
      </c>
      <c r="C61" s="155" t="n">
        <v>4</v>
      </c>
      <c r="D61" s="154" t="n">
        <f aca="false">C61/B61</f>
        <v>0.0002</v>
      </c>
      <c r="E61" s="6" t="s">
        <v>148</v>
      </c>
      <c r="F61" s="155" t="n">
        <v>0</v>
      </c>
      <c r="G61" s="162" t="n">
        <f aca="false">F61*$D61</f>
        <v>0</v>
      </c>
      <c r="H61" s="156" t="n">
        <f aca="false">G61/G$67</f>
        <v>0</v>
      </c>
    </row>
    <row r="62" customFormat="false" ht="20.25" hidden="false" customHeight="false" outlineLevel="0" collapsed="false">
      <c r="A62" s="148" t="s">
        <v>154</v>
      </c>
      <c r="B62" s="149"/>
      <c r="C62" s="150" t="s">
        <v>90</v>
      </c>
      <c r="D62" s="149" t="s">
        <v>43</v>
      </c>
      <c r="E62" s="158"/>
      <c r="F62" s="158"/>
      <c r="G62" s="159"/>
      <c r="H62" s="160"/>
    </row>
    <row r="63" customFormat="false" ht="20.25" hidden="false" customHeight="false" outlineLevel="0" collapsed="false">
      <c r="A63" s="5" t="s">
        <v>169</v>
      </c>
      <c r="B63" s="6" t="n">
        <v>1</v>
      </c>
      <c r="C63" s="168" t="n">
        <v>0.26</v>
      </c>
      <c r="D63" s="166" t="n">
        <f aca="false">C63</f>
        <v>0.26</v>
      </c>
      <c r="E63" s="6" t="s">
        <v>82</v>
      </c>
      <c r="F63" s="166" t="n">
        <v>0.5</v>
      </c>
      <c r="G63" s="162" t="n">
        <f aca="false">F63*$D63</f>
        <v>0.13</v>
      </c>
      <c r="H63" s="156" t="n">
        <f aca="false">G63/G$67</f>
        <v>0.243243243243243</v>
      </c>
    </row>
    <row r="64" customFormat="false" ht="20.25" hidden="false" customHeight="false" outlineLevel="0" collapsed="false">
      <c r="A64" s="148" t="s">
        <v>164</v>
      </c>
      <c r="B64" s="149"/>
      <c r="C64" s="150" t="s">
        <v>42</v>
      </c>
      <c r="D64" s="149" t="s">
        <v>43</v>
      </c>
      <c r="E64" s="158"/>
      <c r="F64" s="158"/>
      <c r="G64" s="159"/>
      <c r="H64" s="160"/>
    </row>
    <row r="65" customFormat="false" ht="20.25" hidden="false" customHeight="false" outlineLevel="0" collapsed="false">
      <c r="A65" s="5" t="s">
        <v>165</v>
      </c>
      <c r="B65" s="6" t="n">
        <f aca="false">$B$26</f>
        <v>225000</v>
      </c>
      <c r="C65" s="155" t="n">
        <v>-1</v>
      </c>
      <c r="D65" s="154" t="n">
        <f aca="false">C65/B65</f>
        <v>-4.44444444444444E-006</v>
      </c>
      <c r="E65" s="6" t="s">
        <v>148</v>
      </c>
      <c r="F65" s="155"/>
      <c r="G65" s="154" t="n">
        <f aca="false">F65*$D65</f>
        <v>0</v>
      </c>
      <c r="H65" s="156" t="n">
        <f aca="false">G65/G$67</f>
        <v>0</v>
      </c>
    </row>
    <row r="66" customFormat="false" ht="20.25" hidden="false" customHeight="false" outlineLevel="0" collapsed="false">
      <c r="A66" s="148" t="s">
        <v>100</v>
      </c>
      <c r="B66" s="149"/>
      <c r="C66" s="150"/>
      <c r="D66" s="149" t="s">
        <v>43</v>
      </c>
      <c r="E66" s="158"/>
      <c r="F66" s="158"/>
      <c r="G66" s="159"/>
      <c r="H66" s="160"/>
    </row>
    <row r="67" customFormat="false" ht="20.25" hidden="false" customHeight="false" outlineLevel="0" collapsed="false">
      <c r="A67" s="5" t="s">
        <v>100</v>
      </c>
      <c r="B67" s="6"/>
      <c r="C67" s="155" t="s">
        <v>101</v>
      </c>
      <c r="D67" s="6"/>
      <c r="E67" s="6" t="s">
        <v>101</v>
      </c>
      <c r="F67" s="6"/>
      <c r="G67" s="167" t="n">
        <f aca="false">SUM(G53:G65)</f>
        <v>0.534444444444445</v>
      </c>
      <c r="H67" s="156" t="n">
        <f aca="false">G67/G$67</f>
        <v>1</v>
      </c>
    </row>
    <row r="68" customFormat="false" ht="20.25" hidden="false" customHeight="false" outlineLevel="0" collapsed="false">
      <c r="A68" s="5"/>
      <c r="B68" s="6"/>
      <c r="C68" s="155"/>
      <c r="D68" s="6"/>
      <c r="E68" s="6"/>
      <c r="F68" s="6"/>
      <c r="G68" s="162"/>
      <c r="H68" s="156"/>
    </row>
    <row r="69" customFormat="false" ht="20.25" hidden="false" customHeight="false" outlineLevel="0" collapsed="false">
      <c r="C69" s="1"/>
      <c r="G69" s="1"/>
    </row>
    <row r="70" customFormat="false" ht="20.25" hidden="false" customHeight="false" outlineLevel="0" collapsed="false">
      <c r="C70" s="1"/>
      <c r="G70" s="1"/>
    </row>
    <row r="71" customFormat="false" ht="19.5" hidden="false" customHeight="true" outlineLevel="0" collapsed="false">
      <c r="C71" s="1"/>
      <c r="G71" s="1"/>
    </row>
    <row r="72" customFormat="false" ht="19.5" hidden="false" customHeight="true" outlineLevel="0" collapsed="false">
      <c r="C72" s="1"/>
      <c r="G72" s="1"/>
    </row>
    <row r="73" customFormat="false" ht="19.5" hidden="false" customHeight="true" outlineLevel="0" collapsed="false">
      <c r="C73" s="1"/>
      <c r="G73" s="1"/>
    </row>
    <row r="74" customFormat="false" ht="19.5" hidden="false" customHeight="true" outlineLevel="0" collapsed="false">
      <c r="C74" s="1"/>
      <c r="G74" s="1"/>
    </row>
    <row r="75" customFormat="false" ht="39" hidden="false" customHeight="true" outlineLevel="0" collapsed="false">
      <c r="C75" s="1"/>
      <c r="G75" s="1"/>
    </row>
    <row r="76" customFormat="false" ht="20.25" hidden="false" customHeight="false" outlineLevel="0" collapsed="false">
      <c r="C76" s="1"/>
      <c r="G76" s="1"/>
    </row>
    <row r="77" customFormat="false" ht="20.25" hidden="false" customHeight="false" outlineLevel="0" collapsed="false">
      <c r="C77" s="1"/>
      <c r="G77" s="1"/>
    </row>
    <row r="78" customFormat="false" ht="20.25" hidden="false" customHeight="false" outlineLevel="0" collapsed="false">
      <c r="C78" s="1"/>
      <c r="G78" s="1"/>
    </row>
    <row r="79" customFormat="false" ht="20.25" hidden="false" customHeight="false" outlineLevel="0" collapsed="false">
      <c r="C79" s="1"/>
      <c r="G79" s="1"/>
    </row>
    <row r="80" customFormat="false" ht="20.25" hidden="false" customHeight="false" outlineLevel="0" collapsed="false">
      <c r="C80" s="1"/>
      <c r="G80" s="1"/>
    </row>
    <row r="81" customFormat="false" ht="20.25" hidden="false" customHeight="false" outlineLevel="0" collapsed="false">
      <c r="C81" s="1"/>
      <c r="G81" s="1"/>
    </row>
    <row r="82" customFormat="false" ht="20.25" hidden="false" customHeight="false" outlineLevel="0" collapsed="false">
      <c r="C82" s="1"/>
      <c r="G82" s="1"/>
    </row>
    <row r="83" customFormat="false" ht="20.25" hidden="false" customHeight="false" outlineLevel="0" collapsed="false">
      <c r="C83" s="1"/>
      <c r="G83"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15" activeCellId="0" sqref="H15"/>
    </sheetView>
  </sheetViews>
  <sheetFormatPr defaultColWidth="8.859375" defaultRowHeight="15" zeroHeight="false" outlineLevelRow="0" outlineLevelCol="0"/>
  <cols>
    <col collapsed="false" customWidth="true" hidden="false" outlineLevel="0" max="2" min="2" style="0" width="46.71"/>
    <col collapsed="false" customWidth="true" hidden="false" outlineLevel="0" max="4" min="4" style="0" width="47"/>
    <col collapsed="false" customWidth="true" hidden="false" outlineLevel="0" max="5" min="5" style="0" width="14.71"/>
    <col collapsed="false" customWidth="true" hidden="false" outlineLevel="0" max="6" min="6" style="0" width="13.42"/>
    <col collapsed="false" customWidth="true" hidden="false" outlineLevel="0" max="7" min="7" style="0" width="11.43"/>
    <col collapsed="false" customWidth="true" hidden="false" outlineLevel="0" max="8" min="8" style="0" width="14.14"/>
    <col collapsed="false" customWidth="true" hidden="false" outlineLevel="0" max="9" min="9" style="0" width="13.71"/>
    <col collapsed="false" customWidth="true" hidden="false" outlineLevel="0" max="11" min="11" style="0" width="14.14"/>
    <col collapsed="false" customWidth="true" hidden="false" outlineLevel="0" max="12" min="12" style="0" width="20.42"/>
  </cols>
  <sheetData>
    <row r="1" customFormat="false" ht="78.8" hidden="false" customHeight="false" outlineLevel="0" collapsed="false">
      <c r="A1" s="173"/>
      <c r="B1" s="174" t="s">
        <v>173</v>
      </c>
      <c r="C1" s="0" t="n">
        <v>1000</v>
      </c>
      <c r="D1" s="173" t="s">
        <v>1</v>
      </c>
      <c r="E1" s="173"/>
      <c r="F1" s="175" t="s">
        <v>174</v>
      </c>
      <c r="G1" s="176" t="s">
        <v>175</v>
      </c>
      <c r="H1" s="177" t="s">
        <v>176</v>
      </c>
      <c r="I1" s="178" t="s">
        <v>177</v>
      </c>
      <c r="J1" s="175" t="s">
        <v>178</v>
      </c>
      <c r="K1" s="177"/>
      <c r="L1" s="177"/>
    </row>
    <row r="2" customFormat="false" ht="63" hidden="false" customHeight="true" outlineLevel="0" collapsed="false">
      <c r="A2" s="173"/>
      <c r="B2" s="173"/>
      <c r="C2" s="173"/>
      <c r="D2" s="173"/>
      <c r="E2" s="173"/>
      <c r="F2" s="175" t="s">
        <v>179</v>
      </c>
      <c r="G2" s="176" t="s">
        <v>180</v>
      </c>
      <c r="H2" s="177" t="s">
        <v>181</v>
      </c>
      <c r="I2" s="178" t="s">
        <v>182</v>
      </c>
      <c r="J2" s="175" t="s">
        <v>183</v>
      </c>
      <c r="K2" s="177" t="s">
        <v>184</v>
      </c>
      <c r="L2" s="177" t="s">
        <v>185</v>
      </c>
    </row>
    <row r="3" customFormat="false" ht="48.05" hidden="false" customHeight="false" outlineLevel="0" collapsed="false">
      <c r="A3" s="179"/>
      <c r="B3" s="179" t="s">
        <v>186</v>
      </c>
      <c r="C3" s="179" t="s">
        <v>187</v>
      </c>
      <c r="D3" s="179" t="s">
        <v>188</v>
      </c>
      <c r="E3" s="179" t="s">
        <v>189</v>
      </c>
      <c r="F3" s="179" t="s">
        <v>190</v>
      </c>
      <c r="G3" s="180" t="s">
        <v>46</v>
      </c>
      <c r="H3" s="181" t="s">
        <v>191</v>
      </c>
      <c r="I3" s="182" t="s">
        <v>192</v>
      </c>
      <c r="J3" s="183" t="s">
        <v>193</v>
      </c>
      <c r="K3" s="181" t="s">
        <v>191</v>
      </c>
      <c r="L3" s="181" t="s">
        <v>191</v>
      </c>
    </row>
    <row r="4" customFormat="false" ht="15" hidden="false" customHeight="false" outlineLevel="0" collapsed="false">
      <c r="A4" s="184" t="n">
        <v>258</v>
      </c>
      <c r="B4" s="185" t="s">
        <v>194</v>
      </c>
      <c r="C4" s="185" t="s">
        <v>195</v>
      </c>
      <c r="D4" s="185" t="s">
        <v>45</v>
      </c>
      <c r="E4" s="185" t="s">
        <v>46</v>
      </c>
      <c r="F4" s="185" t="n">
        <v>1</v>
      </c>
      <c r="G4" s="186" t="n">
        <v>4.8913828</v>
      </c>
      <c r="H4" s="187" t="n">
        <v>61.9127077</v>
      </c>
      <c r="I4" s="188" t="n">
        <f aca="false">G4/H4*$C$1</f>
        <v>79.0045045954273</v>
      </c>
      <c r="J4" s="185" t="n">
        <v>5.4372182</v>
      </c>
      <c r="K4" s="187" t="n">
        <v>20.945152089</v>
      </c>
      <c r="L4" s="189" t="n">
        <f aca="false">K4+H4</f>
        <v>82.857859789</v>
      </c>
      <c r="M4" s="174" t="s">
        <v>41</v>
      </c>
    </row>
    <row r="5" customFormat="false" ht="15.35" hidden="false" customHeight="false" outlineLevel="0" collapsed="false">
      <c r="A5" s="190" t="n">
        <v>470</v>
      </c>
      <c r="B5" s="191" t="s">
        <v>196</v>
      </c>
      <c r="C5" s="191" t="s">
        <v>197</v>
      </c>
      <c r="D5" s="191" t="s">
        <v>48</v>
      </c>
      <c r="E5" s="191" t="s">
        <v>46</v>
      </c>
      <c r="F5" s="191" t="n">
        <v>1</v>
      </c>
      <c r="G5" s="192" t="n">
        <v>19.24884</v>
      </c>
      <c r="H5" s="193" t="n">
        <v>218.8957750817</v>
      </c>
      <c r="I5" s="194" t="n">
        <f aca="false">G5/H5*$C$1</f>
        <v>87.9360964953098</v>
      </c>
      <c r="J5" s="191" t="n">
        <v>20.97429</v>
      </c>
      <c r="K5" s="193" t="n">
        <v>3.510837365</v>
      </c>
      <c r="L5" s="195" t="n">
        <f aca="false">K5+H5</f>
        <v>222.4066124467</v>
      </c>
    </row>
    <row r="6" customFormat="false" ht="15.35" hidden="false" customHeight="false" outlineLevel="0" collapsed="false">
      <c r="A6" s="190" t="n">
        <v>2017</v>
      </c>
      <c r="B6" s="191" t="s">
        <v>198</v>
      </c>
      <c r="C6" s="191" t="s">
        <v>197</v>
      </c>
      <c r="D6" s="191" t="s">
        <v>50</v>
      </c>
      <c r="E6" s="191" t="s">
        <v>46</v>
      </c>
      <c r="F6" s="191" t="n">
        <v>1</v>
      </c>
      <c r="G6" s="192" t="n">
        <v>5.6316443</v>
      </c>
      <c r="H6" s="193" t="n">
        <v>56.3965236705</v>
      </c>
      <c r="I6" s="194" t="n">
        <f aca="false">G6/H6*$C$1</f>
        <v>99.8580042433681</v>
      </c>
      <c r="J6" s="191" t="n">
        <v>6.0199005</v>
      </c>
      <c r="K6" s="193" t="n">
        <v>4.4209443915</v>
      </c>
      <c r="L6" s="195" t="n">
        <f aca="false">K6+H6</f>
        <v>60.817468062</v>
      </c>
    </row>
    <row r="7" customFormat="false" ht="15.35" hidden="false" customHeight="false" outlineLevel="0" collapsed="false">
      <c r="A7" s="191" t="n">
        <v>2582</v>
      </c>
      <c r="B7" s="191" t="s">
        <v>199</v>
      </c>
      <c r="C7" s="191" t="s">
        <v>200</v>
      </c>
      <c r="D7" s="191" t="s">
        <v>201</v>
      </c>
      <c r="E7" s="191" t="s">
        <v>46</v>
      </c>
      <c r="F7" s="191" t="n">
        <v>1</v>
      </c>
      <c r="G7" s="192" t="n">
        <v>5.1792783</v>
      </c>
      <c r="H7" s="196" t="n">
        <v>74.579202517</v>
      </c>
      <c r="I7" s="197" t="n">
        <f aca="false">G7/H7*$C$1</f>
        <v>69.4466838636335</v>
      </c>
      <c r="J7" s="191" t="n">
        <v>5.8649728</v>
      </c>
      <c r="K7" s="196" t="n">
        <v>21.9524964772</v>
      </c>
      <c r="L7" s="196" t="n">
        <f aca="false">K7+H7</f>
        <v>96.5316989942</v>
      </c>
    </row>
    <row r="8" customFormat="false" ht="15.35" hidden="false" customHeight="false" outlineLevel="0" collapsed="false">
      <c r="A8" s="190" t="n">
        <v>6808</v>
      </c>
      <c r="B8" s="191" t="s">
        <v>202</v>
      </c>
      <c r="C8" s="191" t="s">
        <v>195</v>
      </c>
      <c r="D8" s="191" t="s">
        <v>54</v>
      </c>
      <c r="E8" s="191" t="s">
        <v>46</v>
      </c>
      <c r="F8" s="191" t="n">
        <v>1</v>
      </c>
      <c r="G8" s="192" t="n">
        <v>27.933745</v>
      </c>
      <c r="H8" s="193" t="n">
        <v>448.247294359</v>
      </c>
      <c r="I8" s="194" t="n">
        <f aca="false">G8/H8*$C$1</f>
        <v>62.317710227221</v>
      </c>
      <c r="J8" s="191" t="n">
        <v>31.49787</v>
      </c>
      <c r="K8" s="193" t="n">
        <v>48.6430823181</v>
      </c>
      <c r="L8" s="195" t="n">
        <f aca="false">K8+H8</f>
        <v>496.8903766771</v>
      </c>
    </row>
    <row r="9" customFormat="false" ht="15.35" hidden="false" customHeight="false" outlineLevel="0" collapsed="false">
      <c r="A9" s="190" t="n">
        <v>7031</v>
      </c>
      <c r="B9" s="191" t="s">
        <v>203</v>
      </c>
      <c r="C9" s="191" t="s">
        <v>195</v>
      </c>
      <c r="D9" s="191" t="s">
        <v>56</v>
      </c>
      <c r="E9" s="191" t="s">
        <v>46</v>
      </c>
      <c r="F9" s="191" t="n">
        <v>1</v>
      </c>
      <c r="G9" s="192" t="n">
        <v>1.1303346</v>
      </c>
      <c r="H9" s="193" t="n">
        <v>66.7700786260748</v>
      </c>
      <c r="I9" s="194" t="n">
        <f aca="false">G9/H9*$C$1</f>
        <v>16.9287594572127</v>
      </c>
      <c r="J9" s="191" t="n">
        <v>1.4535583</v>
      </c>
      <c r="K9" s="193" t="n">
        <v>0.2002877311024</v>
      </c>
      <c r="L9" s="195" t="n">
        <f aca="false">K9+H9</f>
        <v>66.9703663571772</v>
      </c>
    </row>
    <row r="10" customFormat="false" ht="15.35" hidden="false" customHeight="false" outlineLevel="0" collapsed="false">
      <c r="A10" s="190" t="n">
        <v>7049</v>
      </c>
      <c r="B10" s="191" t="s">
        <v>204</v>
      </c>
      <c r="C10" s="191" t="s">
        <v>195</v>
      </c>
      <c r="D10" s="191" t="s">
        <v>58</v>
      </c>
      <c r="E10" s="191" t="s">
        <v>46</v>
      </c>
      <c r="F10" s="191" t="n">
        <v>1</v>
      </c>
      <c r="G10" s="192" t="n">
        <v>1.2878908</v>
      </c>
      <c r="H10" s="193" t="n">
        <v>49.87819620237</v>
      </c>
      <c r="I10" s="194" t="n">
        <f aca="false">G10/H10*$C$1</f>
        <v>25.8207172283188</v>
      </c>
      <c r="J10" s="191" t="n">
        <v>1.5171342</v>
      </c>
      <c r="K10" s="193" t="n">
        <v>2.01836538643</v>
      </c>
      <c r="L10" s="195" t="n">
        <f aca="false">K10+H10</f>
        <v>51.8965615888</v>
      </c>
    </row>
    <row r="11" customFormat="false" ht="15.35" hidden="false" customHeight="false" outlineLevel="0" collapsed="false">
      <c r="A11" s="190" t="n">
        <v>7381</v>
      </c>
      <c r="B11" s="191" t="s">
        <v>205</v>
      </c>
      <c r="C11" s="191" t="s">
        <v>197</v>
      </c>
      <c r="D11" s="191" t="s">
        <v>60</v>
      </c>
      <c r="E11" s="191" t="s">
        <v>46</v>
      </c>
      <c r="F11" s="191" t="n">
        <v>1</v>
      </c>
      <c r="G11" s="192" t="n">
        <v>0.95946892</v>
      </c>
      <c r="H11" s="193" t="n">
        <v>11.4369008899</v>
      </c>
      <c r="I11" s="194" t="n">
        <f aca="false">G11/H11*$C$1</f>
        <v>83.8923873903037</v>
      </c>
      <c r="J11" s="191" t="n">
        <v>1.0141071</v>
      </c>
      <c r="K11" s="193" t="n">
        <v>0.48573862666</v>
      </c>
      <c r="L11" s="195" t="n">
        <f aca="false">K11+H11</f>
        <v>11.92263951656</v>
      </c>
    </row>
    <row r="12" customFormat="false" ht="15.35" hidden="false" customHeight="false" outlineLevel="0" collapsed="false">
      <c r="A12" s="190" t="n">
        <v>8465</v>
      </c>
      <c r="B12" s="191" t="s">
        <v>206</v>
      </c>
      <c r="C12" s="191" t="s">
        <v>197</v>
      </c>
      <c r="D12" s="191" t="s">
        <v>62</v>
      </c>
      <c r="E12" s="191" t="s">
        <v>63</v>
      </c>
      <c r="F12" s="191" t="n">
        <v>1</v>
      </c>
      <c r="G12" s="192" t="n">
        <v>0.033782061</v>
      </c>
      <c r="H12" s="193" t="n">
        <v>0.6663429688901</v>
      </c>
      <c r="I12" s="194" t="n">
        <f aca="false">G12/H12*$C$1</f>
        <v>50.6977076028421</v>
      </c>
      <c r="J12" s="191" t="n">
        <v>0.037879735</v>
      </c>
      <c r="K12" s="193" t="n">
        <v>0.001174006707</v>
      </c>
      <c r="L12" s="195" t="n">
        <f aca="false">K12+H12</f>
        <v>0.6675169755971</v>
      </c>
      <c r="P12" s="198"/>
    </row>
    <row r="13" customFormat="false" ht="15.35" hidden="false" customHeight="false" outlineLevel="0" collapsed="false">
      <c r="A13" s="190" t="n">
        <v>10999</v>
      </c>
      <c r="B13" s="191" t="s">
        <v>207</v>
      </c>
      <c r="C13" s="191" t="s">
        <v>200</v>
      </c>
      <c r="D13" s="191" t="s">
        <v>65</v>
      </c>
      <c r="E13" s="191" t="s">
        <v>46</v>
      </c>
      <c r="F13" s="191" t="n">
        <v>1</v>
      </c>
      <c r="G13" s="192" t="n">
        <v>1.2213615</v>
      </c>
      <c r="H13" s="193" t="n">
        <v>16.6653603238</v>
      </c>
      <c r="I13" s="194" t="n">
        <f aca="false">G13/H13*$C$1</f>
        <v>73.2874343110217</v>
      </c>
      <c r="J13" s="191" t="n">
        <v>1.3573807</v>
      </c>
      <c r="K13" s="193" t="n">
        <v>1.82673473652</v>
      </c>
      <c r="L13" s="195" t="n">
        <f aca="false">K13+H13</f>
        <v>18.49209506032</v>
      </c>
    </row>
    <row r="14" customFormat="false" ht="15.35" hidden="false" customHeight="false" outlineLevel="0" collapsed="false">
      <c r="A14" s="190" t="n">
        <v>1601</v>
      </c>
      <c r="B14" s="191" t="s">
        <v>208</v>
      </c>
      <c r="C14" s="191" t="s">
        <v>195</v>
      </c>
      <c r="D14" s="191" t="s">
        <v>209</v>
      </c>
      <c r="E14" s="191" t="s">
        <v>63</v>
      </c>
      <c r="F14" s="191" t="n">
        <v>1</v>
      </c>
      <c r="G14" s="192" t="n">
        <v>0.085</v>
      </c>
      <c r="H14" s="193" t="n">
        <v>1.28</v>
      </c>
      <c r="I14" s="194" t="n">
        <f aca="false">G14/H14*$C$1</f>
        <v>66.40625</v>
      </c>
      <c r="J14" s="191" t="n">
        <v>0.08659</v>
      </c>
      <c r="K14" s="193" t="n">
        <v>0</v>
      </c>
      <c r="L14" s="195" t="n">
        <f aca="false">K14+H14</f>
        <v>1.28</v>
      </c>
      <c r="M14" s="174" t="s">
        <v>210</v>
      </c>
    </row>
    <row r="15" customFormat="false" ht="15.35" hidden="false" customHeight="false" outlineLevel="0" collapsed="false">
      <c r="A15" s="190" t="n">
        <v>12292</v>
      </c>
      <c r="B15" s="191" t="s">
        <v>211</v>
      </c>
      <c r="C15" s="191" t="s">
        <v>200</v>
      </c>
      <c r="D15" s="191" t="s">
        <v>68</v>
      </c>
      <c r="E15" s="191" t="s">
        <v>46</v>
      </c>
      <c r="F15" s="191" t="n">
        <v>1</v>
      </c>
      <c r="G15" s="192" t="n">
        <v>14.802611</v>
      </c>
      <c r="H15" s="193" t="n">
        <v>275.141058862</v>
      </c>
      <c r="I15" s="194" t="n">
        <f aca="false">G15/H15*$C$1</f>
        <v>53.8000800797398</v>
      </c>
      <c r="J15" s="191" t="n">
        <v>18.711015</v>
      </c>
      <c r="K15" s="193" t="n">
        <v>221.991557599</v>
      </c>
      <c r="L15" s="195" t="n">
        <f aca="false">K15+H15</f>
        <v>497.132616461</v>
      </c>
    </row>
    <row r="16" customFormat="false" ht="15.35" hidden="false" customHeight="false" outlineLevel="0" collapsed="false">
      <c r="A16" s="190" t="n">
        <v>13492</v>
      </c>
      <c r="B16" s="191" t="s">
        <v>212</v>
      </c>
      <c r="C16" s="191" t="s">
        <v>200</v>
      </c>
      <c r="D16" s="191" t="s">
        <v>69</v>
      </c>
      <c r="E16" s="191" t="s">
        <v>46</v>
      </c>
      <c r="F16" s="191" t="n">
        <v>1</v>
      </c>
      <c r="G16" s="192" t="n">
        <v>1.9192517</v>
      </c>
      <c r="H16" s="193" t="n">
        <v>79.3577038129</v>
      </c>
      <c r="I16" s="194" t="n">
        <f aca="false">G16/H16*$C$1</f>
        <v>24.184818962567</v>
      </c>
      <c r="J16" s="191" t="n">
        <v>2.315399</v>
      </c>
      <c r="K16" s="193" t="n">
        <v>1.0089540707</v>
      </c>
      <c r="L16" s="195" t="n">
        <f aca="false">K16+H16</f>
        <v>80.3666578836</v>
      </c>
    </row>
    <row r="17" customFormat="false" ht="15.35" hidden="false" customHeight="false" outlineLevel="0" collapsed="false">
      <c r="A17" s="190" t="n">
        <v>13532</v>
      </c>
      <c r="B17" s="191" t="s">
        <v>213</v>
      </c>
      <c r="C17" s="191" t="s">
        <v>195</v>
      </c>
      <c r="D17" s="191" t="s">
        <v>70</v>
      </c>
      <c r="E17" s="191" t="s">
        <v>46</v>
      </c>
      <c r="F17" s="191" t="n">
        <v>1</v>
      </c>
      <c r="G17" s="192" t="n">
        <v>1.5167522</v>
      </c>
      <c r="H17" s="193" t="n">
        <v>77.07094285771</v>
      </c>
      <c r="I17" s="194" t="n">
        <f aca="false">G17/H17*$C$1</f>
        <v>19.6799486779377</v>
      </c>
      <c r="J17" s="191" t="n">
        <v>1.9003221</v>
      </c>
      <c r="K17" s="193" t="n">
        <v>1.0000909482</v>
      </c>
      <c r="L17" s="195" t="n">
        <f aca="false">K17+H17</f>
        <v>78.07103380591</v>
      </c>
    </row>
    <row r="18" customFormat="false" ht="15.35" hidden="false" customHeight="false" outlineLevel="0" collapsed="false">
      <c r="A18" s="190" t="n">
        <v>13598</v>
      </c>
      <c r="B18" s="191" t="s">
        <v>214</v>
      </c>
      <c r="C18" s="191" t="s">
        <v>200</v>
      </c>
      <c r="D18" s="191" t="s">
        <v>71</v>
      </c>
      <c r="E18" s="191" t="s">
        <v>46</v>
      </c>
      <c r="F18" s="191" t="n">
        <v>1</v>
      </c>
      <c r="G18" s="192" t="n">
        <v>2.1136888</v>
      </c>
      <c r="H18" s="193" t="n">
        <v>57.3516666618</v>
      </c>
      <c r="I18" s="194" t="n">
        <f aca="false">G18/H18*$C$1</f>
        <v>36.8548801286686</v>
      </c>
      <c r="J18" s="191" t="n">
        <v>2.4231058</v>
      </c>
      <c r="K18" s="193" t="n">
        <v>2.0070345671</v>
      </c>
      <c r="L18" s="195" t="n">
        <f aca="false">K18+H18</f>
        <v>59.3587012289</v>
      </c>
    </row>
    <row r="19" customFormat="false" ht="15.35" hidden="false" customHeight="false" outlineLevel="0" collapsed="false">
      <c r="A19" s="190" t="n">
        <v>14863</v>
      </c>
      <c r="B19" s="191" t="s">
        <v>72</v>
      </c>
      <c r="C19" s="191" t="s">
        <v>195</v>
      </c>
      <c r="D19" s="191" t="s">
        <v>72</v>
      </c>
      <c r="E19" s="191" t="s">
        <v>46</v>
      </c>
      <c r="F19" s="191" t="n">
        <v>1</v>
      </c>
      <c r="G19" s="192" t="n">
        <v>0.15973425</v>
      </c>
      <c r="H19" s="193" t="n">
        <v>1.5173103058</v>
      </c>
      <c r="I19" s="194" t="n">
        <f aca="false">G19/H19*$C$1</f>
        <v>105.27460954388</v>
      </c>
      <c r="J19" s="191" t="n">
        <v>0.17059246</v>
      </c>
      <c r="K19" s="193" t="n">
        <v>0.2555759539</v>
      </c>
      <c r="L19" s="195" t="n">
        <f aca="false">K19+H19</f>
        <v>1.7728862597</v>
      </c>
    </row>
    <row r="20" customFormat="false" ht="15.35" hidden="false" customHeight="false" outlineLevel="0" collapsed="false">
      <c r="A20" s="190" t="n">
        <v>15028</v>
      </c>
      <c r="B20" s="191" t="s">
        <v>73</v>
      </c>
      <c r="C20" s="191" t="s">
        <v>195</v>
      </c>
      <c r="D20" s="191" t="s">
        <v>73</v>
      </c>
      <c r="E20" s="191" t="s">
        <v>46</v>
      </c>
      <c r="F20" s="191" t="n">
        <v>1</v>
      </c>
      <c r="G20" s="192" t="n">
        <v>0.2837106</v>
      </c>
      <c r="H20" s="193" t="n">
        <v>4.96375269038</v>
      </c>
      <c r="I20" s="194" t="n">
        <f aca="false">G20/H20*$C$1</f>
        <v>57.1564736796507</v>
      </c>
      <c r="J20" s="191" t="n">
        <v>0.31869152</v>
      </c>
      <c r="K20" s="193" t="n">
        <v>0.4284888071</v>
      </c>
      <c r="L20" s="195" t="n">
        <f aca="false">K20+H20</f>
        <v>5.39224149748</v>
      </c>
    </row>
    <row r="21" customFormat="false" ht="15.35" hidden="false" customHeight="false" outlineLevel="0" collapsed="false">
      <c r="A21" s="190" t="n">
        <v>15688</v>
      </c>
      <c r="B21" s="191" t="s">
        <v>215</v>
      </c>
      <c r="C21" s="191" t="s">
        <v>195</v>
      </c>
      <c r="D21" s="191" t="s">
        <v>74</v>
      </c>
      <c r="E21" s="191" t="s">
        <v>46</v>
      </c>
      <c r="F21" s="191" t="n">
        <v>1</v>
      </c>
      <c r="G21" s="192" t="n">
        <v>1.9191216</v>
      </c>
      <c r="H21" s="193" t="n">
        <v>25.22054101</v>
      </c>
      <c r="I21" s="194" t="n">
        <f aca="false">G21/H21*$C$1</f>
        <v>76.093593679813</v>
      </c>
      <c r="J21" s="191" t="n">
        <v>2.2139538</v>
      </c>
      <c r="K21" s="193" t="n">
        <v>2.1640413727</v>
      </c>
      <c r="L21" s="195" t="n">
        <f aca="false">K21+H21</f>
        <v>27.3845823827</v>
      </c>
    </row>
    <row r="22" customFormat="false" ht="15.35" hidden="false" customHeight="false" outlineLevel="0" collapsed="false">
      <c r="A22" s="190" t="n">
        <v>15998</v>
      </c>
      <c r="B22" s="191" t="s">
        <v>216</v>
      </c>
      <c r="C22" s="191" t="s">
        <v>195</v>
      </c>
      <c r="D22" s="191" t="s">
        <v>77</v>
      </c>
      <c r="E22" s="191" t="s">
        <v>46</v>
      </c>
      <c r="F22" s="191" t="n">
        <v>1</v>
      </c>
      <c r="G22" s="192" t="n">
        <v>0.092734681</v>
      </c>
      <c r="H22" s="193" t="n">
        <v>3.27912764216</v>
      </c>
      <c r="I22" s="194" t="n">
        <f aca="false">G22/H22*$C$1</f>
        <v>28.2802901014596</v>
      </c>
      <c r="J22" s="191" t="n">
        <v>0.10553827</v>
      </c>
      <c r="K22" s="193" t="n">
        <v>0.173201076</v>
      </c>
      <c r="L22" s="195" t="n">
        <f aca="false">K22+H22</f>
        <v>3.45232871816</v>
      </c>
    </row>
    <row r="23" customFormat="false" ht="15.35" hidden="false" customHeight="false" outlineLevel="0" collapsed="false">
      <c r="A23" s="190" t="n">
        <v>16111</v>
      </c>
      <c r="B23" s="191" t="s">
        <v>217</v>
      </c>
      <c r="C23" s="191" t="s">
        <v>200</v>
      </c>
      <c r="D23" s="191" t="s">
        <v>78</v>
      </c>
      <c r="E23" s="191" t="s">
        <v>46</v>
      </c>
      <c r="F23" s="191" t="n">
        <v>1</v>
      </c>
      <c r="G23" s="192" t="n">
        <v>2.4385405</v>
      </c>
      <c r="H23" s="193" t="n">
        <v>83.6023974432</v>
      </c>
      <c r="I23" s="194" t="n">
        <f aca="false">G23/H23*$C$1</f>
        <v>29.1683082612166</v>
      </c>
      <c r="J23" s="191" t="n">
        <v>2.727539</v>
      </c>
      <c r="K23" s="193" t="n">
        <v>3.1167714769</v>
      </c>
      <c r="L23" s="195" t="n">
        <f aca="false">K23+H23</f>
        <v>86.7191689201</v>
      </c>
    </row>
    <row r="24" customFormat="false" ht="15.35" hidden="false" customHeight="false" outlineLevel="0" collapsed="false">
      <c r="A24" s="190" t="n">
        <v>16201</v>
      </c>
      <c r="B24" s="191" t="s">
        <v>218</v>
      </c>
      <c r="C24" s="191" t="s">
        <v>197</v>
      </c>
      <c r="D24" s="191" t="s">
        <v>79</v>
      </c>
      <c r="E24" s="191" t="s">
        <v>46</v>
      </c>
      <c r="F24" s="191" t="n">
        <v>1</v>
      </c>
      <c r="G24" s="192" t="n">
        <v>0.00030655741</v>
      </c>
      <c r="H24" s="193" t="n">
        <v>0.00524675681922</v>
      </c>
      <c r="I24" s="194" t="n">
        <f aca="false">G24/H24*$C$1</f>
        <v>58.4279814297881</v>
      </c>
      <c r="J24" s="191" t="n">
        <v>0.00033307439</v>
      </c>
      <c r="K24" s="193" t="n">
        <v>0.00055172447051</v>
      </c>
      <c r="L24" s="195" t="n">
        <f aca="false">K24+H24</f>
        <v>0.00579848128973</v>
      </c>
    </row>
    <row r="25" customFormat="false" ht="15.35" hidden="false" customHeight="false" outlineLevel="0" collapsed="false">
      <c r="A25" s="190" t="n">
        <v>19516</v>
      </c>
      <c r="B25" s="191" t="s">
        <v>219</v>
      </c>
      <c r="C25" s="191" t="s">
        <v>200</v>
      </c>
      <c r="D25" s="191" t="s">
        <v>80</v>
      </c>
      <c r="E25" s="191" t="s">
        <v>46</v>
      </c>
      <c r="F25" s="191" t="n">
        <v>1</v>
      </c>
      <c r="G25" s="192" t="n">
        <v>2.5227369</v>
      </c>
      <c r="H25" s="193" t="n">
        <v>42.3454372782</v>
      </c>
      <c r="I25" s="194" t="n">
        <f aca="false">G25/H25*$C$1</f>
        <v>59.5751765042875</v>
      </c>
      <c r="J25" s="191" t="n">
        <v>2.7140714</v>
      </c>
      <c r="K25" s="193" t="n">
        <v>5.62090146822</v>
      </c>
      <c r="L25" s="195" t="n">
        <f aca="false">K25+H25</f>
        <v>47.96633874642</v>
      </c>
    </row>
    <row r="26" customFormat="false" ht="15.35" hidden="false" customHeight="false" outlineLevel="0" collapsed="false">
      <c r="A26" s="199" t="n">
        <v>981</v>
      </c>
      <c r="B26" s="200" t="s">
        <v>220</v>
      </c>
      <c r="C26" s="200" t="s">
        <v>200</v>
      </c>
      <c r="D26" s="200" t="s">
        <v>221</v>
      </c>
      <c r="E26" s="200" t="s">
        <v>46</v>
      </c>
      <c r="F26" s="200" t="n">
        <v>1</v>
      </c>
      <c r="G26" s="201" t="n">
        <v>7.0482569</v>
      </c>
      <c r="H26" s="202" t="n">
        <v>114.566604899</v>
      </c>
      <c r="I26" s="203" t="n">
        <f aca="false">G26/H26*$C$1</f>
        <v>61.521041897101</v>
      </c>
      <c r="J26" s="200" t="n">
        <v>8.1666348</v>
      </c>
      <c r="K26" s="202" t="n">
        <v>14.109314219</v>
      </c>
      <c r="L26" s="204" t="n">
        <f aca="false">K26+H26</f>
        <v>128.675919118</v>
      </c>
    </row>
    <row r="27" customFormat="false" ht="15.35" hidden="false" customHeight="false" outlineLevel="0" collapsed="false">
      <c r="A27" s="200" t="n">
        <v>7137</v>
      </c>
      <c r="B27" s="200" t="s">
        <v>222</v>
      </c>
      <c r="C27" s="200" t="s">
        <v>197</v>
      </c>
      <c r="D27" s="200" t="s">
        <v>222</v>
      </c>
      <c r="E27" s="200" t="s">
        <v>46</v>
      </c>
      <c r="F27" s="200" t="n">
        <v>1</v>
      </c>
      <c r="G27" s="201" t="n">
        <v>0.96734296</v>
      </c>
      <c r="H27" s="205" t="n">
        <v>14.29748935796</v>
      </c>
      <c r="I27" s="203" t="n">
        <f aca="false">G27/H27*$C$1</f>
        <v>67.6582395538865</v>
      </c>
      <c r="J27" s="200" t="n">
        <v>1.0782862</v>
      </c>
      <c r="K27" s="205" t="n">
        <v>1.54664686386</v>
      </c>
      <c r="L27" s="205" t="n">
        <f aca="false">K27+H27</f>
        <v>15.84413622182</v>
      </c>
    </row>
    <row r="28" customFormat="false" ht="15.35" hidden="false" customHeight="false" outlineLevel="0" collapsed="false">
      <c r="A28" s="199" t="n">
        <v>11311</v>
      </c>
      <c r="B28" s="200" t="s">
        <v>223</v>
      </c>
      <c r="C28" s="200" t="s">
        <v>195</v>
      </c>
      <c r="D28" s="200" t="s">
        <v>110</v>
      </c>
      <c r="E28" s="200" t="s">
        <v>46</v>
      </c>
      <c r="F28" s="200" t="n">
        <v>1</v>
      </c>
      <c r="G28" s="201" t="n">
        <v>1.0636347</v>
      </c>
      <c r="H28" s="202" t="n">
        <v>65.30628573204</v>
      </c>
      <c r="I28" s="203" t="n">
        <f aca="false">G28/H28*$C$1</f>
        <v>16.2868656221582</v>
      </c>
      <c r="J28" s="200" t="n">
        <v>1.1874221</v>
      </c>
      <c r="K28" s="202" t="n">
        <v>1.2838169516</v>
      </c>
      <c r="L28" s="204" t="n">
        <f aca="false">K28+H28</f>
        <v>66.59010268364</v>
      </c>
    </row>
    <row r="29" customFormat="false" ht="15.35" hidden="false" customHeight="false" outlineLevel="0" collapsed="false">
      <c r="A29" s="199" t="n">
        <v>11683</v>
      </c>
      <c r="B29" s="200" t="s">
        <v>224</v>
      </c>
      <c r="C29" s="200" t="s">
        <v>200</v>
      </c>
      <c r="D29" s="200" t="s">
        <v>225</v>
      </c>
      <c r="E29" s="200" t="s">
        <v>46</v>
      </c>
      <c r="F29" s="200" t="n">
        <v>1</v>
      </c>
      <c r="G29" s="201" t="n">
        <v>3.4644523</v>
      </c>
      <c r="H29" s="202" t="n">
        <v>45.9842143374</v>
      </c>
      <c r="I29" s="203" t="n">
        <f aca="false">G29/H29*$C$1</f>
        <v>75.3400346166681</v>
      </c>
      <c r="J29" s="200" t="n">
        <v>4.0603889</v>
      </c>
      <c r="K29" s="202" t="n">
        <v>4.488780969</v>
      </c>
      <c r="L29" s="204" t="n">
        <f aca="false">K29+H29</f>
        <v>50.4729953064</v>
      </c>
    </row>
    <row r="30" customFormat="false" ht="15.35" hidden="false" customHeight="false" outlineLevel="0" collapsed="false">
      <c r="A30" s="199" t="n">
        <v>11694</v>
      </c>
      <c r="B30" s="200" t="s">
        <v>226</v>
      </c>
      <c r="C30" s="200" t="s">
        <v>195</v>
      </c>
      <c r="D30" s="200" t="s">
        <v>226</v>
      </c>
      <c r="E30" s="200" t="s">
        <v>46</v>
      </c>
      <c r="F30" s="200" t="n">
        <v>1</v>
      </c>
      <c r="G30" s="201" t="n">
        <v>1.4794537</v>
      </c>
      <c r="H30" s="202" t="n">
        <v>25.1902723749</v>
      </c>
      <c r="I30" s="203" t="n">
        <f aca="false">G30/H30*$C$1</f>
        <v>58.7311513738991</v>
      </c>
      <c r="J30" s="200" t="n">
        <v>1.6605252</v>
      </c>
      <c r="K30" s="202" t="n">
        <v>2.858343279</v>
      </c>
      <c r="L30" s="204" t="n">
        <f aca="false">K30+H30</f>
        <v>28.0486156539</v>
      </c>
    </row>
    <row r="31" customFormat="false" ht="15.35" hidden="false" customHeight="false" outlineLevel="0" collapsed="false">
      <c r="A31" s="206" t="n">
        <v>13590</v>
      </c>
      <c r="B31" s="207" t="s">
        <v>227</v>
      </c>
      <c r="C31" s="207" t="s">
        <v>197</v>
      </c>
      <c r="D31" s="207" t="s">
        <v>228</v>
      </c>
      <c r="E31" s="207" t="s">
        <v>46</v>
      </c>
      <c r="F31" s="207" t="n">
        <v>1</v>
      </c>
      <c r="G31" s="208" t="n">
        <v>4.9718328</v>
      </c>
      <c r="H31" s="209" t="n">
        <v>121.667760299</v>
      </c>
      <c r="I31" s="210" t="n">
        <f aca="false">G31/H31*$C$1</f>
        <v>40.8640118613317</v>
      </c>
      <c r="J31" s="207" t="n">
        <v>6.4054308</v>
      </c>
      <c r="K31" s="209" t="n">
        <v>5.6740800823</v>
      </c>
      <c r="L31" s="211" t="n">
        <f aca="false">K31+H31</f>
        <v>127.3418403813</v>
      </c>
      <c r="M31" s="174" t="s">
        <v>229</v>
      </c>
    </row>
    <row r="32" customFormat="false" ht="15.35" hidden="false" customHeight="false" outlineLevel="0" collapsed="false">
      <c r="A32" s="184" t="n">
        <v>16525</v>
      </c>
      <c r="B32" s="185" t="s">
        <v>230</v>
      </c>
      <c r="C32" s="185" t="s">
        <v>195</v>
      </c>
      <c r="D32" s="185" t="s">
        <v>85</v>
      </c>
      <c r="E32" s="185" t="s">
        <v>231</v>
      </c>
      <c r="F32" s="185" t="n">
        <v>1</v>
      </c>
      <c r="G32" s="186" t="n">
        <v>0.041812313</v>
      </c>
      <c r="H32" s="187" t="n">
        <v>0.70222190421</v>
      </c>
      <c r="I32" s="188" t="n">
        <f aca="false">G32/H32*$C$1</f>
        <v>59.5428777560547</v>
      </c>
      <c r="J32" s="185" t="n">
        <v>0.044801749</v>
      </c>
      <c r="K32" s="187" t="n">
        <v>0.069494111982</v>
      </c>
      <c r="L32" s="189" t="n">
        <f aca="false">K32+H32</f>
        <v>0.771716016192</v>
      </c>
    </row>
    <row r="33" customFormat="false" ht="15.35" hidden="false" customHeight="false" outlineLevel="0" collapsed="false">
      <c r="A33" s="212" t="n">
        <v>16629</v>
      </c>
      <c r="B33" s="191" t="s">
        <v>232</v>
      </c>
      <c r="C33" s="191" t="s">
        <v>197</v>
      </c>
      <c r="D33" s="191" t="s">
        <v>233</v>
      </c>
      <c r="E33" s="191" t="s">
        <v>231</v>
      </c>
      <c r="F33" s="191" t="n">
        <v>1</v>
      </c>
      <c r="G33" s="192" t="n">
        <v>0.16557683</v>
      </c>
      <c r="H33" s="196" t="n">
        <v>2.71316117779</v>
      </c>
      <c r="I33" s="197" t="n">
        <f aca="false">G33/H33*$C$1</f>
        <v>61.0272737776936</v>
      </c>
      <c r="J33" s="191" t="n">
        <v>0.17185733</v>
      </c>
      <c r="K33" s="196" t="n">
        <v>0.02943124489</v>
      </c>
      <c r="L33" s="213" t="n">
        <f aca="false">K33+H33</f>
        <v>2.74259242268</v>
      </c>
    </row>
    <row r="34" customFormat="false" ht="15.35" hidden="false" customHeight="false" outlineLevel="0" collapsed="false">
      <c r="A34" s="214" t="n">
        <v>16822</v>
      </c>
      <c r="B34" s="215" t="s">
        <v>88</v>
      </c>
      <c r="C34" s="215" t="s">
        <v>200</v>
      </c>
      <c r="D34" s="215" t="s">
        <v>88</v>
      </c>
      <c r="E34" s="215" t="s">
        <v>231</v>
      </c>
      <c r="F34" s="215" t="n">
        <v>1</v>
      </c>
      <c r="G34" s="216" t="n">
        <v>0.0090969942</v>
      </c>
      <c r="H34" s="217" t="n">
        <v>0.1278566599795</v>
      </c>
      <c r="I34" s="218" t="n">
        <f aca="false">G34/H34*$C$1</f>
        <v>71.1499440190177</v>
      </c>
      <c r="J34" s="215" t="n">
        <v>0.0094049824</v>
      </c>
      <c r="K34" s="217" t="n">
        <v>0.0008126867973</v>
      </c>
      <c r="L34" s="219" t="n">
        <f aca="false">K34+H34</f>
        <v>0.1286693467768</v>
      </c>
      <c r="M34" s="174" t="s">
        <v>93</v>
      </c>
    </row>
    <row r="35" customFormat="false" ht="15.35" hidden="false" customHeight="false" outlineLevel="0" collapsed="false">
      <c r="A35" s="184" t="n">
        <v>17771</v>
      </c>
      <c r="B35" s="185" t="s">
        <v>234</v>
      </c>
      <c r="C35" s="185" t="s">
        <v>235</v>
      </c>
      <c r="D35" s="185" t="s">
        <v>236</v>
      </c>
      <c r="E35" s="185" t="s">
        <v>46</v>
      </c>
      <c r="F35" s="185" t="n">
        <v>-1</v>
      </c>
      <c r="G35" s="186" t="n">
        <v>1.1106367</v>
      </c>
      <c r="H35" s="187" t="n">
        <v>1.83404686268</v>
      </c>
      <c r="I35" s="188" t="n">
        <f aca="false">G35/H35*$C$1</f>
        <v>605.566151334368</v>
      </c>
      <c r="J35" s="185" t="n">
        <v>1.1236763</v>
      </c>
      <c r="K35" s="187" t="n">
        <v>0.185180926558</v>
      </c>
      <c r="L35" s="189" t="n">
        <f aca="false">K35+H35</f>
        <v>2.019227789238</v>
      </c>
    </row>
    <row r="36" customFormat="false" ht="15.35" hidden="false" customHeight="false" outlineLevel="0" collapsed="false">
      <c r="A36" s="190" t="n">
        <v>17853</v>
      </c>
      <c r="B36" s="191" t="s">
        <v>237</v>
      </c>
      <c r="C36" s="191" t="s">
        <v>235</v>
      </c>
      <c r="D36" s="191" t="s">
        <v>238</v>
      </c>
      <c r="E36" s="191" t="s">
        <v>46</v>
      </c>
      <c r="F36" s="191" t="n">
        <v>-1</v>
      </c>
      <c r="G36" s="192" t="n">
        <v>0.011153419</v>
      </c>
      <c r="H36" s="193" t="n">
        <v>0.270583557105</v>
      </c>
      <c r="I36" s="194" t="n">
        <f aca="false">G36/H36*$C$1</f>
        <v>41.2198698225847</v>
      </c>
      <c r="J36" s="191" t="n">
        <v>0.013427409</v>
      </c>
      <c r="K36" s="193" t="n">
        <v>0.007078574064</v>
      </c>
      <c r="L36" s="195" t="n">
        <f aca="false">K36+H36</f>
        <v>0.277662131169</v>
      </c>
    </row>
    <row r="37" customFormat="false" ht="15.35" hidden="false" customHeight="false" outlineLevel="0" collapsed="false">
      <c r="A37" s="190" t="n">
        <v>18250</v>
      </c>
      <c r="B37" s="191" t="s">
        <v>239</v>
      </c>
      <c r="C37" s="191" t="s">
        <v>235</v>
      </c>
      <c r="D37" s="191" t="s">
        <v>240</v>
      </c>
      <c r="E37" s="191" t="s">
        <v>46</v>
      </c>
      <c r="F37" s="191" t="n">
        <v>-1</v>
      </c>
      <c r="G37" s="192" t="n">
        <v>2.3345751</v>
      </c>
      <c r="H37" s="193" t="n">
        <v>0.483319734847</v>
      </c>
      <c r="I37" s="194" t="n">
        <f aca="false">G37/H37*$C$1</f>
        <v>4830.29127858608</v>
      </c>
      <c r="J37" s="191" t="n">
        <v>2.3458359</v>
      </c>
      <c r="K37" s="193" t="n">
        <v>0.041879640986</v>
      </c>
      <c r="L37" s="195" t="n">
        <f aca="false">K37+H37</f>
        <v>0.525199375833</v>
      </c>
    </row>
    <row r="38" customFormat="false" ht="15.35" hidden="false" customHeight="false" outlineLevel="0" collapsed="false">
      <c r="A38" s="190" t="n">
        <v>19537</v>
      </c>
      <c r="B38" s="191" t="s">
        <v>241</v>
      </c>
      <c r="C38" s="191" t="s">
        <v>235</v>
      </c>
      <c r="D38" s="191" t="s">
        <v>242</v>
      </c>
      <c r="E38" s="191" t="s">
        <v>46</v>
      </c>
      <c r="F38" s="191" t="n">
        <v>-1</v>
      </c>
      <c r="G38" s="192" t="n">
        <v>0.22211976</v>
      </c>
      <c r="H38" s="193" t="n">
        <v>1.67708135731</v>
      </c>
      <c r="I38" s="194" t="n">
        <f aca="false">G38/H38*$C$1</f>
        <v>132.444236549308</v>
      </c>
      <c r="J38" s="191" t="n">
        <v>0.23252513</v>
      </c>
      <c r="K38" s="193" t="n">
        <v>0.17878616908</v>
      </c>
      <c r="L38" s="195" t="n">
        <f aca="false">K38+H38</f>
        <v>1.85586752639</v>
      </c>
    </row>
    <row r="39" customFormat="false" ht="15.35" hidden="false" customHeight="false" outlineLevel="0" collapsed="false">
      <c r="A39" s="190" t="n">
        <v>493</v>
      </c>
      <c r="B39" s="191" t="s">
        <v>243</v>
      </c>
      <c r="C39" s="191" t="s">
        <v>197</v>
      </c>
      <c r="D39" s="191" t="s">
        <v>244</v>
      </c>
      <c r="E39" s="191" t="s">
        <v>46</v>
      </c>
      <c r="F39" s="191" t="n">
        <v>1</v>
      </c>
      <c r="G39" s="192" t="n">
        <v>0.72918765</v>
      </c>
      <c r="H39" s="193" t="n">
        <v>9.0213324453</v>
      </c>
      <c r="I39" s="194" t="n">
        <f aca="false">G39/H39*$C$1</f>
        <v>80.8292626861232</v>
      </c>
      <c r="J39" s="191" t="n">
        <v>0.7999219</v>
      </c>
      <c r="K39" s="193" t="n">
        <v>1.29815477219</v>
      </c>
      <c r="L39" s="195" t="n">
        <f aca="false">K39+H39</f>
        <v>10.31948721749</v>
      </c>
    </row>
    <row r="40" customFormat="false" ht="15.35" hidden="false" customHeight="false" outlineLevel="0" collapsed="false">
      <c r="A40" s="199" t="n">
        <v>9875</v>
      </c>
      <c r="B40" s="200" t="s">
        <v>245</v>
      </c>
      <c r="C40" s="200" t="s">
        <v>197</v>
      </c>
      <c r="D40" s="200" t="s">
        <v>246</v>
      </c>
      <c r="E40" s="200" t="s">
        <v>46</v>
      </c>
      <c r="F40" s="200" t="n">
        <v>1</v>
      </c>
      <c r="G40" s="201" t="n">
        <v>0.051301317</v>
      </c>
      <c r="H40" s="202" t="n">
        <v>0.7290009167</v>
      </c>
      <c r="I40" s="203" t="n">
        <f aca="false">G40/H40*$C$1</f>
        <v>70.3720884635206</v>
      </c>
      <c r="J40" s="200" t="n">
        <v>0.089742351</v>
      </c>
      <c r="K40" s="202" t="n">
        <v>0.033602191653</v>
      </c>
      <c r="L40" s="204" t="n">
        <f aca="false">K40+H40</f>
        <v>0.762603108353</v>
      </c>
    </row>
    <row r="41" customFormat="false" ht="15.35" hidden="false" customHeight="false" outlineLevel="0" collapsed="false">
      <c r="A41" s="199" t="n">
        <v>17851</v>
      </c>
      <c r="B41" s="200" t="s">
        <v>247</v>
      </c>
      <c r="C41" s="200" t="s">
        <v>235</v>
      </c>
      <c r="D41" s="200" t="s">
        <v>238</v>
      </c>
      <c r="E41" s="200" t="s">
        <v>46</v>
      </c>
      <c r="F41" s="200" t="n">
        <v>-1</v>
      </c>
      <c r="G41" s="201" t="n">
        <v>0.003980719</v>
      </c>
      <c r="H41" s="202" t="n">
        <v>0.1458860790314</v>
      </c>
      <c r="I41" s="203" t="n">
        <f aca="false">G41/H41*$C$1</f>
        <v>27.2864897489171</v>
      </c>
      <c r="J41" s="200" t="n">
        <v>0.0042370221</v>
      </c>
      <c r="K41" s="202" t="n">
        <v>0.0027956913819</v>
      </c>
      <c r="L41" s="204" t="n">
        <f aca="false">K41+H41</f>
        <v>0.1486817704133</v>
      </c>
    </row>
    <row r="42" customFormat="false" ht="15.35" hidden="false" customHeight="false" outlineLevel="0" collapsed="false">
      <c r="A42" s="199" t="n">
        <v>17961</v>
      </c>
      <c r="B42" s="200" t="s">
        <v>248</v>
      </c>
      <c r="C42" s="200" t="s">
        <v>235</v>
      </c>
      <c r="D42" s="200" t="s">
        <v>249</v>
      </c>
      <c r="E42" s="200" t="s">
        <v>46</v>
      </c>
      <c r="F42" s="200" t="n">
        <v>-1</v>
      </c>
      <c r="G42" s="201" t="n">
        <v>2.8409763</v>
      </c>
      <c r="H42" s="202" t="n">
        <v>0.247165548033</v>
      </c>
      <c r="I42" s="203" t="n">
        <f aca="false">G42/H42*$C$1</f>
        <v>11494.2245090756</v>
      </c>
      <c r="J42" s="200" t="n">
        <v>2.8430456</v>
      </c>
      <c r="K42" s="202" t="n">
        <v>0.013825208509</v>
      </c>
      <c r="L42" s="204" t="n">
        <f aca="false">K42+H42</f>
        <v>0.260990756542</v>
      </c>
    </row>
    <row r="43" customFormat="false" ht="15.35" hidden="false" customHeight="false" outlineLevel="0" collapsed="false">
      <c r="A43" s="199" t="n">
        <v>18257</v>
      </c>
      <c r="B43" s="200" t="s">
        <v>250</v>
      </c>
      <c r="C43" s="200" t="s">
        <v>235</v>
      </c>
      <c r="D43" s="200" t="s">
        <v>240</v>
      </c>
      <c r="E43" s="200" t="s">
        <v>46</v>
      </c>
      <c r="F43" s="200" t="n">
        <v>-1</v>
      </c>
      <c r="G43" s="201" t="n">
        <v>0.024003382</v>
      </c>
      <c r="H43" s="202" t="n">
        <v>0.2396002528751</v>
      </c>
      <c r="I43" s="203" t="n">
        <f aca="false">G43/H43*$C$1</f>
        <v>100.180954368661</v>
      </c>
      <c r="J43" s="200" t="n">
        <v>0.096838258</v>
      </c>
      <c r="K43" s="202" t="n">
        <v>0.011725443646</v>
      </c>
      <c r="L43" s="204" t="n">
        <f aca="false">K43+H43</f>
        <v>0.2513256965211</v>
      </c>
    </row>
    <row r="44" customFormat="false" ht="15.35" hidden="false" customHeight="false" outlineLevel="0" collapsed="false">
      <c r="A44" s="206" t="n">
        <v>18621</v>
      </c>
      <c r="B44" s="207" t="s">
        <v>251</v>
      </c>
      <c r="C44" s="207" t="s">
        <v>197</v>
      </c>
      <c r="D44" s="207" t="s">
        <v>121</v>
      </c>
      <c r="E44" s="207" t="s">
        <v>46</v>
      </c>
      <c r="F44" s="207" t="n">
        <v>-1</v>
      </c>
      <c r="G44" s="208" t="n">
        <v>0.47093748</v>
      </c>
      <c r="H44" s="209" t="n">
        <v>0.67096498464</v>
      </c>
      <c r="I44" s="210" t="n">
        <f aca="false">G44/H44*$C$1</f>
        <v>701.8808593308</v>
      </c>
      <c r="J44" s="207" t="n">
        <v>0.62918377</v>
      </c>
      <c r="K44" s="209" t="n">
        <v>0.011346230633</v>
      </c>
      <c r="L44" s="211" t="n">
        <f aca="false">K44+H44</f>
        <v>0.682311215273</v>
      </c>
      <c r="M44" s="174" t="s">
        <v>252</v>
      </c>
    </row>
    <row r="45" customFormat="false" ht="15.35" hidden="false" customHeight="false" outlineLevel="0" collapsed="false">
      <c r="A45" s="184" t="n">
        <v>13041</v>
      </c>
      <c r="B45" s="185" t="s">
        <v>253</v>
      </c>
      <c r="C45" s="185" t="s">
        <v>254</v>
      </c>
      <c r="D45" s="185" t="s">
        <v>255</v>
      </c>
      <c r="E45" s="185" t="s">
        <v>46</v>
      </c>
      <c r="F45" s="185" t="n">
        <v>1</v>
      </c>
      <c r="G45" s="186" t="n">
        <v>0.58292348</v>
      </c>
      <c r="H45" s="187" t="n">
        <v>54.4007312206</v>
      </c>
      <c r="I45" s="188" t="n">
        <f aca="false">G45/H45*$C$1</f>
        <v>10.7153611159415</v>
      </c>
      <c r="J45" s="185" t="n">
        <v>0.63547923</v>
      </c>
      <c r="K45" s="187" t="n">
        <v>0.1793514612</v>
      </c>
      <c r="L45" s="189" t="n">
        <f aca="false">K45+H45</f>
        <v>54.5800826818</v>
      </c>
      <c r="M45" s="174" t="s">
        <v>256</v>
      </c>
    </row>
    <row r="46" customFormat="false" ht="15.35" hidden="false" customHeight="false" outlineLevel="0" collapsed="false">
      <c r="A46" s="190" t="n">
        <v>6705</v>
      </c>
      <c r="B46" s="191" t="s">
        <v>257</v>
      </c>
      <c r="C46" s="191" t="s">
        <v>258</v>
      </c>
      <c r="D46" s="191" t="s">
        <v>81</v>
      </c>
      <c r="E46" s="191" t="s">
        <v>82</v>
      </c>
      <c r="F46" s="191" t="n">
        <v>1</v>
      </c>
      <c r="G46" s="192" t="n">
        <v>0.40013556</v>
      </c>
      <c r="H46" s="193" t="n">
        <v>9.06833804836</v>
      </c>
      <c r="I46" s="194" t="n">
        <f aca="false">G46/H46*$C$1</f>
        <v>44.1244644681463</v>
      </c>
      <c r="J46" s="191" t="n">
        <v>0.42848921</v>
      </c>
      <c r="K46" s="193" t="n">
        <v>1.272223605867</v>
      </c>
      <c r="L46" s="195" t="n">
        <f aca="false">K46+H46</f>
        <v>10.340561654227</v>
      </c>
    </row>
    <row r="47" customFormat="false" ht="15.35" hidden="false" customHeight="false" outlineLevel="0" collapsed="false">
      <c r="A47" s="220" t="n">
        <v>4964</v>
      </c>
      <c r="B47" s="221" t="s">
        <v>259</v>
      </c>
      <c r="C47" s="221" t="s">
        <v>197</v>
      </c>
      <c r="D47" s="221" t="s">
        <v>260</v>
      </c>
      <c r="E47" s="221" t="s">
        <v>82</v>
      </c>
      <c r="F47" s="221" t="n">
        <v>1</v>
      </c>
      <c r="G47" s="222" t="n">
        <v>0.01282334</v>
      </c>
      <c r="H47" s="223" t="n">
        <v>0.195062311515</v>
      </c>
      <c r="I47" s="224" t="n">
        <f aca="false">G47/H47*$C$1</f>
        <v>65.7397110718331</v>
      </c>
      <c r="J47" s="221" t="n">
        <v>0.014481565</v>
      </c>
      <c r="K47" s="223" t="n">
        <v>3.8837257247749</v>
      </c>
      <c r="L47" s="225" t="n">
        <f aca="false">K47+H47</f>
        <v>4.0787880362899</v>
      </c>
    </row>
    <row r="48" customFormat="false" ht="15.35" hidden="false" customHeight="false" outlineLevel="0" collapsed="false">
      <c r="A48" s="226" t="n">
        <v>6311</v>
      </c>
      <c r="B48" s="227" t="s">
        <v>261</v>
      </c>
      <c r="C48" s="227" t="s">
        <v>197</v>
      </c>
      <c r="D48" s="227" t="s">
        <v>262</v>
      </c>
      <c r="E48" s="227" t="s">
        <v>82</v>
      </c>
      <c r="F48" s="227" t="n">
        <v>1</v>
      </c>
      <c r="G48" s="228" t="n">
        <v>0.068347838</v>
      </c>
      <c r="H48" s="229" t="n">
        <v>1.02617528517</v>
      </c>
      <c r="I48" s="230" t="n">
        <f aca="false">G48/H48*$C$1</f>
        <v>66.6044475907225</v>
      </c>
      <c r="J48" s="227" t="n">
        <v>0.078110457</v>
      </c>
      <c r="K48" s="229" t="n">
        <v>4.0230495176</v>
      </c>
      <c r="L48" s="231" t="n">
        <f aca="false">K48+H48</f>
        <v>5.04922480277</v>
      </c>
    </row>
    <row r="49" customFormat="false" ht="15.35" hidden="false" customHeight="false" outlineLevel="0" collapsed="false">
      <c r="A49" s="232" t="n">
        <v>4946</v>
      </c>
      <c r="B49" s="233" t="s">
        <v>263</v>
      </c>
      <c r="C49" s="233" t="s">
        <v>197</v>
      </c>
      <c r="D49" s="233" t="s">
        <v>260</v>
      </c>
      <c r="E49" s="233" t="s">
        <v>82</v>
      </c>
      <c r="F49" s="233" t="n">
        <v>1</v>
      </c>
      <c r="G49" s="234" t="n">
        <v>0.9917628</v>
      </c>
      <c r="H49" s="235" t="n">
        <v>10.33904117732</v>
      </c>
      <c r="I49" s="236" t="n">
        <v>95.9240593968769</v>
      </c>
      <c r="J49" s="233" t="n">
        <v>1.0089833</v>
      </c>
      <c r="K49" s="235" t="n">
        <v>0.101282416966</v>
      </c>
      <c r="L49" s="237" t="n">
        <v>10.440323594286</v>
      </c>
    </row>
    <row r="50" customFormat="false" ht="15.35" hidden="false" customHeight="false" outlineLevel="0" collapsed="false">
      <c r="A50" s="191" t="n">
        <v>11666</v>
      </c>
      <c r="B50" s="191" t="s">
        <v>264</v>
      </c>
      <c r="C50" s="191" t="s">
        <v>200</v>
      </c>
      <c r="D50" s="191" t="s">
        <v>265</v>
      </c>
      <c r="E50" s="191" t="s">
        <v>46</v>
      </c>
      <c r="F50" s="191" t="n">
        <v>1</v>
      </c>
      <c r="G50" s="192" t="n">
        <v>63383.94</v>
      </c>
      <c r="H50" s="196" t="n">
        <v>1095329.169957</v>
      </c>
      <c r="I50" s="197" t="n">
        <f aca="false">G50/H50*$C$1</f>
        <v>57.8674810627825</v>
      </c>
      <c r="J50" s="191" t="n">
        <v>69212.2</v>
      </c>
      <c r="K50" s="196" t="n">
        <v>24780.262775</v>
      </c>
      <c r="L50" s="196" t="n">
        <f aca="false">K50+H50</f>
        <v>1120109.432732</v>
      </c>
    </row>
    <row r="51" customFormat="false" ht="15.35" hidden="false" customHeight="false" outlineLevel="0" collapsed="false">
      <c r="A51" s="238" t="n">
        <v>8453</v>
      </c>
      <c r="B51" s="239" t="s">
        <v>266</v>
      </c>
      <c r="C51" s="239" t="s">
        <v>254</v>
      </c>
      <c r="D51" s="239" t="s">
        <v>62</v>
      </c>
      <c r="E51" s="239" t="s">
        <v>63</v>
      </c>
      <c r="F51" s="239" t="n">
        <v>1</v>
      </c>
      <c r="G51" s="240" t="n">
        <v>0.066111269</v>
      </c>
      <c r="H51" s="241" t="n">
        <v>1.3475935677156</v>
      </c>
      <c r="I51" s="197" t="n">
        <f aca="false">G51/H51*$C$1</f>
        <v>49.0587596912249</v>
      </c>
      <c r="J51" s="239" t="n">
        <v>0.070260814</v>
      </c>
      <c r="K51" s="241" t="n">
        <v>0.003653068538</v>
      </c>
      <c r="L51" s="241" t="n">
        <f aca="false">K51+H51</f>
        <v>1.3512466362536</v>
      </c>
    </row>
    <row r="52" customFormat="false" ht="15.35" hidden="false" customHeight="false" outlineLevel="0" collapsed="false">
      <c r="A52" s="242" t="n">
        <v>11665</v>
      </c>
      <c r="B52" s="191" t="s">
        <v>267</v>
      </c>
      <c r="C52" s="191" t="s">
        <v>200</v>
      </c>
      <c r="D52" s="191" t="s">
        <v>265</v>
      </c>
      <c r="E52" s="191" t="s">
        <v>46</v>
      </c>
      <c r="F52" s="191" t="n">
        <v>1</v>
      </c>
      <c r="G52" s="192" t="n">
        <v>10203.118</v>
      </c>
      <c r="H52" s="196" t="n">
        <v>177394.8258176</v>
      </c>
      <c r="I52" s="197" t="e">
        <f aca="false">G52/H52*$D$1</f>
        <v>#VALUE!</v>
      </c>
      <c r="J52" s="191" t="n">
        <v>11194.083</v>
      </c>
      <c r="K52" s="196" t="n">
        <v>4786.3423157</v>
      </c>
      <c r="L52" s="196" t="n">
        <f aca="false">K52+H52</f>
        <v>182181.1681333</v>
      </c>
    </row>
  </sheetData>
  <conditionalFormatting sqref="E5:E52">
    <cfRule type="containsText" priority="2" operator="containsText" aboveAverage="0" equalAverage="0" bottom="0" percent="0" rank="0" text="unit" dxfId="0">
      <formula>NOT(ISERROR(SEARCH("unit",E5)))</formula>
    </cfRule>
  </conditionalFormatting>
  <conditionalFormatting sqref="E1:E2">
    <cfRule type="containsText" priority="3" operator="containsText" aboveAverage="0" equalAverage="0" bottom="0" percent="0" rank="0" text="unit" dxfId="1">
      <formula>NOT(ISERROR(SEARCH("unit",E1)))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Y26" activeCellId="0" sqref="Y26"/>
    </sheetView>
  </sheetViews>
  <sheetFormatPr defaultColWidth="8.859375" defaultRowHeight="15" zeroHeight="false" outlineLevelRow="0" outlineLevelCol="0"/>
  <cols>
    <col collapsed="false" customWidth="true" hidden="false" outlineLevel="0" max="2" min="2" style="0" width="28.14"/>
    <col collapsed="false" customWidth="true" hidden="false" outlineLevel="0" max="3" min="3" style="0" width="18.86"/>
    <col collapsed="false" customWidth="true" hidden="false" outlineLevel="0" max="4" min="4" style="0" width="10.42"/>
    <col collapsed="false" customWidth="true" hidden="false" outlineLevel="0" max="8" min="8" style="0" width="9.14"/>
  </cols>
  <sheetData>
    <row r="2" customFormat="false" ht="15" hidden="false" customHeight="false" outlineLevel="0" collapsed="false">
      <c r="B2" s="0" t="s">
        <v>268</v>
      </c>
    </row>
    <row r="3" customFormat="false" ht="28.8" hidden="false" customHeight="false" outlineLevel="0" collapsed="false">
      <c r="B3" s="243" t="s">
        <v>179</v>
      </c>
      <c r="C3" s="243" t="s">
        <v>20</v>
      </c>
      <c r="D3" s="243" t="s">
        <v>269</v>
      </c>
      <c r="E3" s="243" t="s">
        <v>270</v>
      </c>
      <c r="F3" s="243" t="s">
        <v>271</v>
      </c>
      <c r="G3" s="243" t="s">
        <v>272</v>
      </c>
    </row>
    <row r="4" customFormat="false" ht="15.35" hidden="false" customHeight="false" outlineLevel="0" collapsed="false">
      <c r="B4" s="244" t="s">
        <v>273</v>
      </c>
      <c r="C4" s="244" t="s">
        <v>274</v>
      </c>
      <c r="D4" s="245" t="n">
        <v>0.26828</v>
      </c>
      <c r="E4" s="245" t="n">
        <v>0.141558</v>
      </c>
      <c r="F4" s="245" t="n">
        <v>0.0367715</v>
      </c>
      <c r="G4" s="245" t="n">
        <v>0.0288164</v>
      </c>
    </row>
    <row r="5" customFormat="false" ht="15.35" hidden="false" customHeight="false" outlineLevel="0" collapsed="false">
      <c r="B5" s="244" t="s">
        <v>275</v>
      </c>
      <c r="C5" s="244" t="s">
        <v>276</v>
      </c>
      <c r="D5" s="245" t="n">
        <v>0.273011</v>
      </c>
      <c r="E5" s="245" t="n">
        <v>0.14781</v>
      </c>
      <c r="F5" s="245" t="n">
        <v>0.0395282</v>
      </c>
      <c r="G5" s="245" t="n">
        <v>0.031087</v>
      </c>
    </row>
    <row r="6" customFormat="false" ht="15.35" hidden="false" customHeight="false" outlineLevel="0" collapsed="false">
      <c r="B6" s="244" t="s">
        <v>277</v>
      </c>
      <c r="C6" s="244" t="s">
        <v>278</v>
      </c>
      <c r="D6" s="245" t="n">
        <v>4.00116</v>
      </c>
      <c r="E6" s="245" t="n">
        <v>2.42259</v>
      </c>
      <c r="F6" s="245" t="n">
        <v>0.414244</v>
      </c>
      <c r="G6" s="245" t="n">
        <v>0.348267</v>
      </c>
    </row>
    <row r="7" customFormat="false" ht="15.35" hidden="false" customHeight="false" outlineLevel="0" collapsed="false">
      <c r="B7" s="244" t="s">
        <v>279</v>
      </c>
      <c r="C7" s="244" t="s">
        <v>280</v>
      </c>
      <c r="D7" s="245" t="n">
        <v>4.84066E-015</v>
      </c>
      <c r="E7" s="245" t="n">
        <v>5.56387E-015</v>
      </c>
      <c r="F7" s="245" t="n">
        <v>1.87256E-015</v>
      </c>
      <c r="G7" s="245" t="n">
        <v>1.58225E-015</v>
      </c>
    </row>
    <row r="8" customFormat="false" ht="15.35" hidden="false" customHeight="false" outlineLevel="0" collapsed="false">
      <c r="B8" s="244" t="s">
        <v>281</v>
      </c>
      <c r="C8" s="244" t="s">
        <v>282</v>
      </c>
      <c r="D8" s="245" t="n">
        <v>1720.69</v>
      </c>
      <c r="E8" s="245" t="n">
        <v>12579.5</v>
      </c>
      <c r="F8" s="245" t="n">
        <v>11990.5</v>
      </c>
      <c r="G8" s="245" t="n">
        <v>11541</v>
      </c>
    </row>
    <row r="9" customFormat="false" ht="15.35" hidden="false" customHeight="false" outlineLevel="0" collapsed="false">
      <c r="B9" s="244" t="s">
        <v>283</v>
      </c>
      <c r="C9" s="244" t="s">
        <v>284</v>
      </c>
      <c r="D9" s="245" t="n">
        <v>2.97925E-006</v>
      </c>
      <c r="E9" s="245" t="n">
        <v>2.52043E-007</v>
      </c>
      <c r="F9" s="245" t="n">
        <v>2.34394E-007</v>
      </c>
      <c r="G9" s="245" t="n">
        <v>1.82202E-007</v>
      </c>
    </row>
    <row r="10" customFormat="false" ht="15.35" hidden="false" customHeight="false" outlineLevel="0" collapsed="false">
      <c r="B10" s="244" t="s">
        <v>285</v>
      </c>
      <c r="C10" s="244" t="s">
        <v>286</v>
      </c>
      <c r="D10" s="245" t="n">
        <v>2.15028E-008</v>
      </c>
      <c r="E10" s="245" t="n">
        <v>2.62793E-008</v>
      </c>
      <c r="F10" s="245" t="n">
        <v>1.60912E-008</v>
      </c>
      <c r="G10" s="245" t="n">
        <v>1.54138E-008</v>
      </c>
    </row>
    <row r="11" customFormat="false" ht="15.35" hidden="false" customHeight="false" outlineLevel="0" collapsed="false">
      <c r="B11" s="244" t="s">
        <v>287</v>
      </c>
      <c r="C11" s="244" t="s">
        <v>286</v>
      </c>
      <c r="D11" s="245" t="n">
        <v>2.96036E-008</v>
      </c>
      <c r="E11" s="245" t="n">
        <v>7.97366E-008</v>
      </c>
      <c r="F11" s="245" t="n">
        <v>5.80477E-008</v>
      </c>
      <c r="G11" s="245" t="n">
        <v>5.41915E-008</v>
      </c>
    </row>
    <row r="12" customFormat="false" ht="15.35" hidden="false" customHeight="false" outlineLevel="0" collapsed="false">
      <c r="B12" s="244" t="s">
        <v>288</v>
      </c>
      <c r="C12" s="244" t="s">
        <v>289</v>
      </c>
      <c r="D12" s="245" t="n">
        <v>1.94129</v>
      </c>
      <c r="E12" s="245" t="n">
        <v>6.70424</v>
      </c>
      <c r="F12" s="245" t="n">
        <v>0.488585</v>
      </c>
      <c r="G12" s="245" t="n">
        <v>0.41063</v>
      </c>
    </row>
    <row r="13" customFormat="false" ht="15.35" hidden="false" customHeight="false" outlineLevel="0" collapsed="false">
      <c r="B13" s="244" t="s">
        <v>290</v>
      </c>
      <c r="C13" s="244" t="s">
        <v>291</v>
      </c>
      <c r="D13" s="245" t="n">
        <v>0.0123922</v>
      </c>
      <c r="E13" s="245" t="n">
        <v>0.000740493</v>
      </c>
      <c r="F13" s="245" t="n">
        <v>0.000397184</v>
      </c>
      <c r="G13" s="245" t="n">
        <v>0.000383411</v>
      </c>
    </row>
    <row r="14" customFormat="false" ht="15.35" hidden="false" customHeight="false" outlineLevel="0" collapsed="false">
      <c r="B14" s="244" t="s">
        <v>292</v>
      </c>
      <c r="C14" s="244" t="s">
        <v>293</v>
      </c>
      <c r="D14" s="245" t="n">
        <v>5.6085E-005</v>
      </c>
      <c r="E14" s="245" t="n">
        <v>1.0287E-005</v>
      </c>
      <c r="F14" s="245" t="n">
        <v>5.5964E-006</v>
      </c>
      <c r="G14" s="245" t="n">
        <v>4.90069E-006</v>
      </c>
    </row>
    <row r="15" customFormat="false" ht="15.35" hidden="false" customHeight="false" outlineLevel="0" collapsed="false">
      <c r="B15" s="244" t="s">
        <v>294</v>
      </c>
      <c r="C15" s="244" t="s">
        <v>295</v>
      </c>
      <c r="D15" s="245" t="n">
        <v>1.05749E-005</v>
      </c>
      <c r="E15" s="245" t="n">
        <v>3.46873E-005</v>
      </c>
      <c r="F15" s="245" t="n">
        <v>2.85727E-005</v>
      </c>
      <c r="G15" s="245" t="n">
        <v>2.75701E-005</v>
      </c>
    </row>
    <row r="16" customFormat="false" ht="15.35" hidden="false" customHeight="false" outlineLevel="0" collapsed="false">
      <c r="B16" s="244" t="s">
        <v>296</v>
      </c>
      <c r="C16" s="244" t="s">
        <v>297</v>
      </c>
      <c r="D16" s="245" t="n">
        <v>0.000719149</v>
      </c>
      <c r="E16" s="245" t="n">
        <v>0.000687898</v>
      </c>
      <c r="F16" s="245" t="n">
        <v>0.000641993</v>
      </c>
      <c r="G16" s="245" t="n">
        <v>0.000624738</v>
      </c>
    </row>
    <row r="17" customFormat="false" ht="15.35" hidden="false" customHeight="false" outlineLevel="0" collapsed="false">
      <c r="B17" s="244" t="s">
        <v>298</v>
      </c>
      <c r="C17" s="244" t="s">
        <v>299</v>
      </c>
      <c r="D17" s="245" t="n">
        <v>5.97663E-008</v>
      </c>
      <c r="E17" s="245" t="n">
        <v>1.26077E-008</v>
      </c>
      <c r="F17" s="245" t="n">
        <v>3.29624E-009</v>
      </c>
      <c r="G17" s="245" t="n">
        <v>2.6927E-009</v>
      </c>
    </row>
    <row r="18" customFormat="false" ht="15.35" hidden="false" customHeight="false" outlineLevel="0" collapsed="false">
      <c r="B18" s="244" t="s">
        <v>300</v>
      </c>
      <c r="C18" s="244" t="s">
        <v>301</v>
      </c>
      <c r="D18" s="245" t="n">
        <v>6.58634E-005</v>
      </c>
      <c r="E18" s="245" t="n">
        <v>7.68038E-005</v>
      </c>
      <c r="F18" s="245" t="n">
        <v>3.42735E-005</v>
      </c>
      <c r="G18" s="245" t="n">
        <v>2.90924E-005</v>
      </c>
    </row>
    <row r="19" customFormat="false" ht="15" hidden="false" customHeight="true" outlineLevel="0" collapsed="false">
      <c r="B19" s="244" t="s">
        <v>302</v>
      </c>
      <c r="C19" s="244" t="s">
        <v>303</v>
      </c>
      <c r="D19" s="245" t="n">
        <v>0.000758933</v>
      </c>
      <c r="E19" s="245" t="n">
        <v>0.000389889</v>
      </c>
      <c r="F19" s="245" t="n">
        <v>0.000183732</v>
      </c>
      <c r="G19" s="245" t="n">
        <v>0.000152696</v>
      </c>
    </row>
    <row r="20" customFormat="false" ht="15" hidden="false" customHeight="false" outlineLevel="0" collapsed="false">
      <c r="B20" s="244" t="s">
        <v>304</v>
      </c>
      <c r="C20" s="244" t="s">
        <v>280</v>
      </c>
      <c r="D20" s="245" t="n">
        <v>3.16178E-009</v>
      </c>
      <c r="E20" s="245" t="n">
        <v>3.93908E-009</v>
      </c>
      <c r="F20" s="245" t="n">
        <v>1.20615E-009</v>
      </c>
      <c r="G20" s="245" t="n">
        <v>1.01839E-009</v>
      </c>
    </row>
    <row r="21" customFormat="false" ht="15" hidden="false" customHeight="false" outlineLevel="0" collapsed="false">
      <c r="B21" s="244" t="s">
        <v>305</v>
      </c>
      <c r="C21" s="244" t="s">
        <v>306</v>
      </c>
      <c r="D21" s="245" t="n">
        <v>0.932842</v>
      </c>
      <c r="E21" s="245" t="n">
        <v>0.0474642</v>
      </c>
      <c r="F21" s="245" t="n">
        <v>0.0204532</v>
      </c>
      <c r="G21" s="245" t="n">
        <v>0.0116672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0"/>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G41" activeCellId="0" sqref="G41"/>
    </sheetView>
  </sheetViews>
  <sheetFormatPr defaultColWidth="30.71484375" defaultRowHeight="20.25" zeroHeight="false" outlineLevelRow="0" outlineLevelCol="0"/>
  <cols>
    <col collapsed="false" customWidth="true" hidden="false" outlineLevel="0" max="1" min="1" style="1" width="60.42"/>
    <col collapsed="false" customWidth="true" hidden="false" outlineLevel="0" max="2" min="2" style="246" width="24.14"/>
    <col collapsed="false" customWidth="true" hidden="false" outlineLevel="0" max="3" min="3" style="1" width="22.71"/>
    <col collapsed="false" customWidth="false" hidden="false" outlineLevel="0" max="6" min="4" style="1" width="30.71"/>
    <col collapsed="false" customWidth="true" hidden="false" outlineLevel="0" max="7" min="7" style="1" width="62.42"/>
    <col collapsed="false" customWidth="false" hidden="false" outlineLevel="0" max="8" min="8" style="1" width="30.71"/>
    <col collapsed="false" customWidth="true" hidden="true" outlineLevel="0" max="9" min="9" style="1" width="11.53"/>
    <col collapsed="false" customWidth="false" hidden="false" outlineLevel="0" max="16384" min="10" style="1" width="30.71"/>
  </cols>
  <sheetData>
    <row r="1" customFormat="false" ht="20.25" hidden="false" customHeight="false" outlineLevel="0" collapsed="false">
      <c r="A1" s="5" t="s">
        <v>0</v>
      </c>
      <c r="B1" s="247" t="n">
        <v>1000</v>
      </c>
    </row>
    <row r="2" customFormat="false" ht="20.25" hidden="false" customHeight="false" outlineLevel="0" collapsed="false">
      <c r="A2" s="5" t="s">
        <v>1</v>
      </c>
      <c r="B2" s="247" t="n">
        <v>1000</v>
      </c>
    </row>
    <row r="4" s="8" customFormat="true" ht="63" hidden="false" customHeight="true" outlineLevel="0" collapsed="false">
      <c r="A4" s="248" t="s">
        <v>307</v>
      </c>
      <c r="B4" s="249" t="s">
        <v>188</v>
      </c>
      <c r="C4" s="250" t="s">
        <v>189</v>
      </c>
    </row>
    <row r="5" customFormat="false" ht="20.25" hidden="false" customHeight="false" outlineLevel="0" collapsed="false">
      <c r="A5" s="251" t="s">
        <v>41</v>
      </c>
      <c r="B5" s="252"/>
      <c r="C5" s="253"/>
      <c r="H5" s="254" t="s">
        <v>74</v>
      </c>
      <c r="I5" s="255" t="n">
        <f aca="false">B23</f>
        <v>1039.5</v>
      </c>
      <c r="J5" s="1" t="n">
        <v>1040</v>
      </c>
      <c r="K5" s="1" t="s">
        <v>46</v>
      </c>
    </row>
    <row r="6" customFormat="false" ht="20.25" hidden="false" customHeight="false" outlineLevel="0" collapsed="false">
      <c r="A6" s="254" t="s">
        <v>45</v>
      </c>
      <c r="B6" s="246" t="n">
        <v>4.368</v>
      </c>
      <c r="C6" s="256" t="s">
        <v>46</v>
      </c>
      <c r="D6" s="1" t="n">
        <v>4.16</v>
      </c>
      <c r="E6" s="1" t="n">
        <f aca="false">B6/D6</f>
        <v>1.05</v>
      </c>
      <c r="F6" s="255"/>
      <c r="G6" s="254" t="s">
        <v>45</v>
      </c>
      <c r="H6" s="254" t="s">
        <v>73</v>
      </c>
      <c r="I6" s="255" t="n">
        <f aca="false">B22+B21</f>
        <v>781.2</v>
      </c>
      <c r="J6" s="1" t="n">
        <v>780</v>
      </c>
      <c r="K6" s="1" t="s">
        <v>46</v>
      </c>
    </row>
    <row r="7" customFormat="false" ht="20.25" hidden="false" customHeight="false" outlineLevel="0" collapsed="false">
      <c r="A7" s="254" t="s">
        <v>48</v>
      </c>
      <c r="B7" s="246" t="n">
        <v>54.39</v>
      </c>
      <c r="C7" s="256" t="s">
        <v>46</v>
      </c>
      <c r="D7" s="1" t="n">
        <v>51.8</v>
      </c>
      <c r="E7" s="1" t="n">
        <f aca="false">B7/D7</f>
        <v>1.05</v>
      </c>
      <c r="F7" s="255"/>
      <c r="G7" s="254" t="s">
        <v>48</v>
      </c>
      <c r="H7" s="254" t="s">
        <v>48</v>
      </c>
      <c r="I7" s="255" t="n">
        <f aca="false">B7</f>
        <v>54.39</v>
      </c>
      <c r="J7" s="1" t="n">
        <v>55</v>
      </c>
      <c r="K7" s="1" t="s">
        <v>46</v>
      </c>
    </row>
    <row r="8" customFormat="false" ht="20.25" hidden="false" customHeight="false" outlineLevel="0" collapsed="false">
      <c r="A8" s="254" t="s">
        <v>50</v>
      </c>
      <c r="B8" s="246" t="n">
        <v>2.52</v>
      </c>
      <c r="C8" s="256" t="s">
        <v>46</v>
      </c>
      <c r="D8" s="1" t="n">
        <v>2.4</v>
      </c>
      <c r="E8" s="1" t="n">
        <f aca="false">B8/D8</f>
        <v>1.05</v>
      </c>
      <c r="F8" s="255" t="s">
        <v>308</v>
      </c>
      <c r="G8" s="254" t="s">
        <v>50</v>
      </c>
      <c r="H8" s="1" t="s">
        <v>309</v>
      </c>
      <c r="I8" s="255" t="n">
        <f aca="false">B8+B9+B10+B28+B17</f>
        <v>37.50075</v>
      </c>
      <c r="J8" s="1" t="n">
        <v>38</v>
      </c>
      <c r="K8" s="1" t="s">
        <v>46</v>
      </c>
    </row>
    <row r="9" customFormat="false" ht="20.25" hidden="false" customHeight="false" outlineLevel="0" collapsed="false">
      <c r="A9" s="254" t="s">
        <v>52</v>
      </c>
      <c r="B9" s="246" t="n">
        <v>21.21</v>
      </c>
      <c r="C9" s="256" t="s">
        <v>46</v>
      </c>
      <c r="D9" s="1" t="n">
        <v>20.2</v>
      </c>
      <c r="E9" s="1" t="n">
        <f aca="false">B9/D9</f>
        <v>1.05</v>
      </c>
      <c r="F9" s="255"/>
      <c r="G9" s="254" t="s">
        <v>52</v>
      </c>
      <c r="H9" s="254" t="s">
        <v>310</v>
      </c>
      <c r="I9" s="39" t="n">
        <f aca="false">B24</f>
        <v>0.00168</v>
      </c>
      <c r="J9" s="39" t="n">
        <v>0.0017</v>
      </c>
      <c r="K9" s="1" t="s">
        <v>46</v>
      </c>
    </row>
    <row r="10" customFormat="false" ht="20.25" hidden="false" customHeight="false" outlineLevel="0" collapsed="false">
      <c r="A10" s="30" t="s">
        <v>54</v>
      </c>
      <c r="B10" s="246" t="n">
        <v>6.11625</v>
      </c>
      <c r="C10" s="256" t="s">
        <v>46</v>
      </c>
      <c r="D10" s="257" t="n">
        <f aca="false">B10/1.05</f>
        <v>5.825</v>
      </c>
      <c r="E10" s="1" t="n">
        <f aca="false">B10/D10</f>
        <v>1.05</v>
      </c>
      <c r="F10" s="255" t="s">
        <v>308</v>
      </c>
      <c r="G10" s="30" t="s">
        <v>54</v>
      </c>
      <c r="H10" s="254" t="s">
        <v>311</v>
      </c>
      <c r="I10" s="255" t="n">
        <f aca="false">B18+B19+B20</f>
        <v>175.35</v>
      </c>
      <c r="J10" s="1" t="n">
        <v>175</v>
      </c>
      <c r="K10" s="1" t="s">
        <v>46</v>
      </c>
    </row>
    <row r="11" customFormat="false" ht="20.25" hidden="false" customHeight="false" outlineLevel="0" collapsed="false">
      <c r="A11" s="254" t="s">
        <v>56</v>
      </c>
      <c r="B11" s="246" t="n">
        <v>19.425</v>
      </c>
      <c r="C11" s="256" t="s">
        <v>46</v>
      </c>
      <c r="D11" s="1" t="n">
        <v>18.5</v>
      </c>
      <c r="E11" s="1" t="n">
        <f aca="false">B11/D11</f>
        <v>1.05</v>
      </c>
      <c r="F11" s="255"/>
      <c r="G11" s="254" t="s">
        <v>56</v>
      </c>
      <c r="H11" s="254" t="s">
        <v>78</v>
      </c>
      <c r="I11" s="255" t="n">
        <f aca="false">B26</f>
        <v>46.305</v>
      </c>
      <c r="J11" s="1" t="n">
        <v>46</v>
      </c>
      <c r="K11" s="1" t="s">
        <v>46</v>
      </c>
    </row>
    <row r="12" customFormat="false" ht="20.25" hidden="false" customHeight="false" outlineLevel="0" collapsed="false">
      <c r="A12" s="254" t="s">
        <v>58</v>
      </c>
      <c r="B12" s="246" t="n">
        <v>5.04</v>
      </c>
      <c r="C12" s="256" t="s">
        <v>46</v>
      </c>
      <c r="D12" s="1" t="n">
        <v>4.8</v>
      </c>
      <c r="E12" s="1" t="n">
        <f aca="false">B12/D12</f>
        <v>1.05</v>
      </c>
      <c r="F12" s="255"/>
      <c r="G12" s="254" t="s">
        <v>58</v>
      </c>
      <c r="H12" s="1" t="s">
        <v>312</v>
      </c>
      <c r="I12" s="255" t="n">
        <f aca="false">B13</f>
        <v>31.605</v>
      </c>
      <c r="J12" s="1" t="n">
        <v>32</v>
      </c>
      <c r="K12" s="1" t="s">
        <v>46</v>
      </c>
    </row>
    <row r="13" customFormat="false" ht="20.25" hidden="false" customHeight="false" outlineLevel="0" collapsed="false">
      <c r="A13" s="254" t="s">
        <v>60</v>
      </c>
      <c r="B13" s="246" t="n">
        <v>31.605</v>
      </c>
      <c r="C13" s="256" t="s">
        <v>46</v>
      </c>
      <c r="D13" s="1" t="n">
        <v>30.1</v>
      </c>
      <c r="E13" s="1" t="n">
        <f aca="false">B13/D13</f>
        <v>1.05</v>
      </c>
      <c r="F13" s="255"/>
      <c r="G13" s="254" t="s">
        <v>60</v>
      </c>
      <c r="H13" s="30" t="s">
        <v>54</v>
      </c>
      <c r="I13" s="255" t="n">
        <f aca="false">B10</f>
        <v>6.11625</v>
      </c>
      <c r="J13" s="1" t="n">
        <v>6.1</v>
      </c>
      <c r="K13" s="1" t="s">
        <v>46</v>
      </c>
    </row>
    <row r="14" customFormat="false" ht="20.25" hidden="false" customHeight="false" outlineLevel="0" collapsed="false">
      <c r="A14" s="254" t="s">
        <v>62</v>
      </c>
      <c r="B14" s="246" t="n">
        <v>2331</v>
      </c>
      <c r="C14" s="256" t="s">
        <v>63</v>
      </c>
      <c r="D14" s="1" t="n">
        <v>2220</v>
      </c>
      <c r="E14" s="1" t="n">
        <f aca="false">B14/D14</f>
        <v>1.05</v>
      </c>
      <c r="F14" s="255"/>
      <c r="G14" s="254" t="s">
        <v>62</v>
      </c>
      <c r="H14" s="254" t="s">
        <v>313</v>
      </c>
      <c r="I14" s="255" t="n">
        <f aca="false">B11+B6+B12+B25</f>
        <v>29.673</v>
      </c>
      <c r="J14" s="1" t="n">
        <v>30</v>
      </c>
      <c r="K14" s="1" t="s">
        <v>46</v>
      </c>
    </row>
    <row r="15" customFormat="false" ht="20.25" hidden="false" customHeight="false" outlineLevel="0" collapsed="false">
      <c r="A15" s="254" t="s">
        <v>65</v>
      </c>
      <c r="B15" s="246" t="n">
        <v>13.65</v>
      </c>
      <c r="C15" s="256" t="s">
        <v>46</v>
      </c>
      <c r="D15" s="1" t="n">
        <v>13</v>
      </c>
      <c r="E15" s="1" t="n">
        <f aca="false">B15/D15</f>
        <v>1.05</v>
      </c>
      <c r="F15" s="255"/>
      <c r="G15" s="254" t="s">
        <v>65</v>
      </c>
      <c r="H15" s="254" t="s">
        <v>79</v>
      </c>
      <c r="I15" s="246" t="n">
        <f aca="false">B27</f>
        <v>3381</v>
      </c>
      <c r="J15" s="1" t="n">
        <v>3400</v>
      </c>
      <c r="K15" s="1" t="s">
        <v>46</v>
      </c>
    </row>
    <row r="16" customFormat="false" ht="20.25" hidden="false" customHeight="false" outlineLevel="0" collapsed="false">
      <c r="A16" s="254" t="s">
        <v>67</v>
      </c>
      <c r="B16" s="246" t="n">
        <v>66.15</v>
      </c>
      <c r="C16" s="256" t="s">
        <v>63</v>
      </c>
      <c r="D16" s="1" t="n">
        <v>63</v>
      </c>
      <c r="E16" s="1" t="n">
        <f aca="false">B16/D16</f>
        <v>1.05</v>
      </c>
      <c r="F16" s="255"/>
      <c r="G16" s="254" t="s">
        <v>67</v>
      </c>
      <c r="H16" s="254" t="s">
        <v>62</v>
      </c>
      <c r="I16" s="255" t="n">
        <f aca="false">B14+B16</f>
        <v>2397.15</v>
      </c>
      <c r="J16" s="1" t="n">
        <v>2400</v>
      </c>
      <c r="K16" s="1" t="s">
        <v>63</v>
      </c>
    </row>
    <row r="17" customFormat="false" ht="20.25" hidden="false" customHeight="false" outlineLevel="0" collapsed="false">
      <c r="A17" s="254" t="s">
        <v>68</v>
      </c>
      <c r="B17" s="246" t="n">
        <v>1.47</v>
      </c>
      <c r="C17" s="256" t="s">
        <v>46</v>
      </c>
      <c r="D17" s="1" t="n">
        <v>1.4</v>
      </c>
      <c r="E17" s="1" t="n">
        <f aca="false">B17/D17</f>
        <v>1.05</v>
      </c>
      <c r="F17" s="255"/>
      <c r="G17" s="254" t="s">
        <v>68</v>
      </c>
      <c r="H17" s="258" t="s">
        <v>81</v>
      </c>
      <c r="I17" s="255" t="n">
        <f aca="false">B29</f>
        <v>2247</v>
      </c>
      <c r="J17" s="1" t="n">
        <v>2250</v>
      </c>
      <c r="K17" s="1" t="s">
        <v>82</v>
      </c>
    </row>
    <row r="18" customFormat="false" ht="20.25" hidden="false" customHeight="false" outlineLevel="0" collapsed="false">
      <c r="A18" s="254" t="s">
        <v>69</v>
      </c>
      <c r="B18" s="246" t="n">
        <v>107.1</v>
      </c>
      <c r="C18" s="256" t="s">
        <v>46</v>
      </c>
      <c r="D18" s="1" t="n">
        <v>102</v>
      </c>
      <c r="E18" s="1" t="n">
        <f aca="false">B18/D18</f>
        <v>1.05</v>
      </c>
      <c r="G18" s="254" t="s">
        <v>311</v>
      </c>
    </row>
    <row r="19" customFormat="false" ht="20.25" hidden="false" customHeight="false" outlineLevel="0" collapsed="false">
      <c r="A19" s="254" t="s">
        <v>70</v>
      </c>
      <c r="B19" s="246" t="n">
        <v>51.45</v>
      </c>
      <c r="C19" s="256" t="s">
        <v>46</v>
      </c>
      <c r="D19" s="1" t="n">
        <v>49</v>
      </c>
      <c r="E19" s="1" t="n">
        <f aca="false">B19/D19</f>
        <v>1.05</v>
      </c>
      <c r="G19" s="254" t="s">
        <v>70</v>
      </c>
    </row>
    <row r="20" customFormat="false" ht="20.25" hidden="false" customHeight="false" outlineLevel="0" collapsed="false">
      <c r="A20" s="254" t="s">
        <v>71</v>
      </c>
      <c r="B20" s="246" t="n">
        <v>16.8</v>
      </c>
      <c r="C20" s="256" t="s">
        <v>46</v>
      </c>
      <c r="D20" s="1" t="n">
        <v>16</v>
      </c>
      <c r="E20" s="1" t="n">
        <f aca="false">B20/D20</f>
        <v>1.05</v>
      </c>
      <c r="G20" s="254" t="s">
        <v>71</v>
      </c>
    </row>
    <row r="21" customFormat="false" ht="20.25" hidden="false" customHeight="false" outlineLevel="0" collapsed="false">
      <c r="A21" s="254" t="s">
        <v>72</v>
      </c>
      <c r="B21" s="246" t="n">
        <v>213.15</v>
      </c>
      <c r="C21" s="256" t="s">
        <v>46</v>
      </c>
      <c r="D21" s="1" t="n">
        <v>203</v>
      </c>
      <c r="E21" s="1" t="n">
        <f aca="false">B21/D21</f>
        <v>1.05</v>
      </c>
      <c r="G21" s="254" t="s">
        <v>72</v>
      </c>
      <c r="H21" s="1" t="s">
        <v>314</v>
      </c>
    </row>
    <row r="22" customFormat="false" ht="20.25" hidden="false" customHeight="false" outlineLevel="0" collapsed="false">
      <c r="A22" s="254" t="s">
        <v>73</v>
      </c>
      <c r="B22" s="246" t="n">
        <v>568.05</v>
      </c>
      <c r="C22" s="256" t="s">
        <v>46</v>
      </c>
      <c r="D22" s="1" t="n">
        <v>541</v>
      </c>
      <c r="E22" s="1" t="n">
        <f aca="false">B22/D22</f>
        <v>1.05</v>
      </c>
      <c r="G22" s="254" t="s">
        <v>73</v>
      </c>
    </row>
    <row r="23" customFormat="false" ht="20.25" hidden="false" customHeight="false" outlineLevel="0" collapsed="false">
      <c r="A23" s="254" t="s">
        <v>74</v>
      </c>
      <c r="B23" s="246" t="n">
        <v>1039.5</v>
      </c>
      <c r="C23" s="256" t="s">
        <v>46</v>
      </c>
      <c r="D23" s="1" t="n">
        <f aca="false">891+99</f>
        <v>990</v>
      </c>
      <c r="E23" s="1" t="n">
        <f aca="false">B23/D23</f>
        <v>1.05</v>
      </c>
      <c r="G23" s="254" t="s">
        <v>74</v>
      </c>
    </row>
    <row r="24" customFormat="false" ht="20.25" hidden="false" customHeight="false" outlineLevel="0" collapsed="false">
      <c r="A24" s="254" t="s">
        <v>310</v>
      </c>
      <c r="B24" s="259" t="n">
        <f aca="false">1.05*D24</f>
        <v>0.00168</v>
      </c>
      <c r="C24" s="256"/>
      <c r="D24" s="39" t="n">
        <v>0.0016</v>
      </c>
      <c r="E24" s="1" t="n">
        <f aca="false">B24/D24</f>
        <v>1.05</v>
      </c>
      <c r="F24" s="1" t="s">
        <v>315</v>
      </c>
      <c r="G24" s="254" t="s">
        <v>310</v>
      </c>
    </row>
    <row r="25" customFormat="false" ht="20.25" hidden="false" customHeight="false" outlineLevel="0" collapsed="false">
      <c r="A25" s="254" t="s">
        <v>77</v>
      </c>
      <c r="B25" s="246" t="n">
        <v>0.84</v>
      </c>
      <c r="C25" s="256" t="s">
        <v>46</v>
      </c>
      <c r="D25" s="1" t="n">
        <v>0.8</v>
      </c>
      <c r="E25" s="1" t="n">
        <f aca="false">B25/D25</f>
        <v>1.05</v>
      </c>
      <c r="G25" s="254" t="s">
        <v>77</v>
      </c>
    </row>
    <row r="26" customFormat="false" ht="20.25" hidden="false" customHeight="false" outlineLevel="0" collapsed="false">
      <c r="A26" s="254" t="s">
        <v>78</v>
      </c>
      <c r="B26" s="246" t="n">
        <v>46.305</v>
      </c>
      <c r="C26" s="256" t="s">
        <v>46</v>
      </c>
      <c r="D26" s="1" t="n">
        <v>44.1</v>
      </c>
      <c r="E26" s="1" t="n">
        <f aca="false">B26/D26</f>
        <v>1.05</v>
      </c>
      <c r="G26" s="254" t="s">
        <v>78</v>
      </c>
    </row>
    <row r="27" customFormat="false" ht="20.25" hidden="false" customHeight="false" outlineLevel="0" collapsed="false">
      <c r="A27" s="254" t="s">
        <v>79</v>
      </c>
      <c r="B27" s="246" t="n">
        <v>3381</v>
      </c>
      <c r="C27" s="256" t="s">
        <v>46</v>
      </c>
      <c r="D27" s="1" t="n">
        <v>3220</v>
      </c>
      <c r="E27" s="1" t="n">
        <f aca="false">B27/D27</f>
        <v>1.05</v>
      </c>
      <c r="G27" s="254" t="s">
        <v>79</v>
      </c>
    </row>
    <row r="28" customFormat="false" ht="20.25" hidden="false" customHeight="false" outlineLevel="0" collapsed="false">
      <c r="A28" s="254" t="s">
        <v>80</v>
      </c>
      <c r="B28" s="246" t="n">
        <v>6.1845</v>
      </c>
      <c r="C28" s="256" t="s">
        <v>46</v>
      </c>
      <c r="D28" s="1" t="n">
        <v>5.89</v>
      </c>
      <c r="E28" s="1" t="n">
        <f aca="false">B28/D28</f>
        <v>1.05</v>
      </c>
      <c r="G28" s="254" t="s">
        <v>80</v>
      </c>
      <c r="H28" s="1" t="s">
        <v>316</v>
      </c>
    </row>
    <row r="29" customFormat="false" ht="20.25" hidden="false" customHeight="false" outlineLevel="0" collapsed="false">
      <c r="A29" s="258" t="s">
        <v>81</v>
      </c>
      <c r="B29" s="260" t="n">
        <f aca="false">D29*1.05</f>
        <v>2247</v>
      </c>
      <c r="C29" s="261" t="s">
        <v>82</v>
      </c>
      <c r="D29" s="262" t="n">
        <v>2140</v>
      </c>
      <c r="E29" s="1" t="n">
        <f aca="false">B29/D29</f>
        <v>1.05</v>
      </c>
      <c r="F29" s="1" t="s">
        <v>317</v>
      </c>
      <c r="G29" s="258" t="s">
        <v>81</v>
      </c>
    </row>
    <row r="30" customFormat="false" ht="43.5" hidden="false" customHeight="true" outlineLevel="0" collapsed="false">
      <c r="A30" s="263" t="s">
        <v>318</v>
      </c>
      <c r="B30" s="1" t="n">
        <f aca="false">SUM(B6:B29)</f>
        <v>10234.32543</v>
      </c>
      <c r="C30" s="264"/>
      <c r="D30" s="1" t="n">
        <f aca="false">SUM(D6:D29)</f>
        <v>9746.9766</v>
      </c>
      <c r="I30" s="1" t="n">
        <f aca="false">SUM(I6:I28)</f>
        <v>9187.29168</v>
      </c>
    </row>
    <row r="31" customFormat="false" ht="20.25" hidden="false" customHeight="false" outlineLevel="0" collapsed="false">
      <c r="A31" s="254" t="s">
        <v>85</v>
      </c>
      <c r="B31" s="246" t="n">
        <v>0.00371</v>
      </c>
      <c r="C31" s="265" t="s">
        <v>86</v>
      </c>
      <c r="D31" s="1" t="n">
        <v>530</v>
      </c>
      <c r="E31" s="1" t="n">
        <f aca="false">B31*150000/D31</f>
        <v>1.05</v>
      </c>
    </row>
    <row r="32" customFormat="false" ht="20.25" hidden="false" customHeight="false" outlineLevel="0" collapsed="false">
      <c r="A32" s="254" t="s">
        <v>87</v>
      </c>
      <c r="B32" s="246" t="n">
        <v>0.00039382</v>
      </c>
      <c r="C32" s="265" t="s">
        <v>86</v>
      </c>
      <c r="D32" s="1" t="n">
        <v>53</v>
      </c>
      <c r="E32" s="1" t="n">
        <f aca="false">B32*150000/D32</f>
        <v>1.11458490566038</v>
      </c>
    </row>
    <row r="33" customFormat="false" ht="20.25" hidden="false" customHeight="false" outlineLevel="0" collapsed="false">
      <c r="A33" s="258" t="s">
        <v>88</v>
      </c>
      <c r="B33" s="266" t="n">
        <v>0.0693333333333333</v>
      </c>
      <c r="C33" s="267" t="s">
        <v>86</v>
      </c>
      <c r="E33" s="1" t="n">
        <f aca="false">B33*150000</f>
        <v>10400</v>
      </c>
    </row>
    <row r="34" customFormat="false" ht="37.5" hidden="false" customHeight="false" outlineLevel="0" collapsed="false">
      <c r="A34" s="263" t="s">
        <v>319</v>
      </c>
      <c r="B34" s="268" t="s">
        <v>320</v>
      </c>
      <c r="C34" s="264"/>
    </row>
    <row r="35" customFormat="false" ht="20.25" hidden="false" customHeight="false" outlineLevel="0" collapsed="false">
      <c r="A35" s="254" t="s">
        <v>91</v>
      </c>
      <c r="B35" s="246" t="n">
        <v>0.0619047619047619</v>
      </c>
      <c r="C35" s="265" t="s">
        <v>46</v>
      </c>
    </row>
    <row r="36" customFormat="false" ht="20.25" hidden="false" customHeight="false" outlineLevel="0" collapsed="false">
      <c r="A36" s="258" t="s">
        <v>92</v>
      </c>
      <c r="B36" s="266" t="n">
        <v>0.0619047619047619</v>
      </c>
      <c r="C36" s="267" t="s">
        <v>46</v>
      </c>
    </row>
    <row r="37" customFormat="false" ht="35.05" hidden="false" customHeight="false" outlineLevel="0" collapsed="false">
      <c r="A37" s="263" t="s">
        <v>321</v>
      </c>
      <c r="B37" s="268"/>
      <c r="C37" s="264"/>
    </row>
    <row r="38" customFormat="false" ht="20.25" hidden="false" customHeight="false" outlineLevel="0" collapsed="false">
      <c r="A38" s="254" t="s">
        <v>94</v>
      </c>
      <c r="C38" s="265" t="s">
        <v>46</v>
      </c>
    </row>
    <row r="39" customFormat="false" ht="20.25" hidden="false" customHeight="false" outlineLevel="0" collapsed="false">
      <c r="A39" s="254" t="s">
        <v>95</v>
      </c>
      <c r="C39" s="265" t="s">
        <v>46</v>
      </c>
    </row>
    <row r="40" customFormat="false" ht="20.25" hidden="false" customHeight="false" outlineLevel="0" collapsed="false">
      <c r="A40" s="254" t="s">
        <v>96</v>
      </c>
      <c r="C40" s="265" t="s">
        <v>46</v>
      </c>
    </row>
    <row r="41" customFormat="false" ht="20.25" hidden="false" customHeight="false" outlineLevel="0" collapsed="false">
      <c r="A41" s="254" t="s">
        <v>97</v>
      </c>
      <c r="C41" s="265" t="s">
        <v>46</v>
      </c>
    </row>
    <row r="42" customFormat="false" ht="20.25" hidden="false" customHeight="false" outlineLevel="0" collapsed="false">
      <c r="A42" s="269" t="s">
        <v>322</v>
      </c>
      <c r="B42" s="270"/>
      <c r="C42" s="271" t="s">
        <v>46</v>
      </c>
      <c r="F42" s="1" t="s">
        <v>323</v>
      </c>
    </row>
    <row r="43" customFormat="false" ht="20.25" hidden="false" customHeight="false" outlineLevel="0" collapsed="false">
      <c r="C43" s="2"/>
    </row>
    <row r="44" customFormat="false" ht="37.5" hidden="false" customHeight="false" outlineLevel="0" collapsed="false">
      <c r="A44" s="14" t="s">
        <v>324</v>
      </c>
      <c r="B44" s="272" t="s">
        <v>188</v>
      </c>
      <c r="C44" s="16" t="s">
        <v>189</v>
      </c>
    </row>
    <row r="45" customFormat="false" ht="20.25" hidden="false" customHeight="false" outlineLevel="0" collapsed="false">
      <c r="A45" s="23" t="s">
        <v>41</v>
      </c>
      <c r="B45" s="273"/>
      <c r="C45" s="274"/>
    </row>
    <row r="46" customFormat="false" ht="20.25" hidden="false" customHeight="false" outlineLevel="0" collapsed="false">
      <c r="A46" s="254" t="s">
        <v>45</v>
      </c>
      <c r="B46" s="246" t="n">
        <v>4.16</v>
      </c>
      <c r="C46" s="256" t="s">
        <v>46</v>
      </c>
    </row>
    <row r="47" customFormat="false" ht="20.25" hidden="false" customHeight="false" outlineLevel="0" collapsed="false">
      <c r="A47" s="254" t="s">
        <v>106</v>
      </c>
      <c r="B47" s="246" t="n">
        <v>82</v>
      </c>
      <c r="C47" s="256" t="s">
        <v>46</v>
      </c>
    </row>
    <row r="48" customFormat="false" ht="20.25" hidden="false" customHeight="false" outlineLevel="0" collapsed="false">
      <c r="A48" s="254" t="s">
        <v>107</v>
      </c>
      <c r="B48" s="246" t="n">
        <v>287.1</v>
      </c>
      <c r="C48" s="256" t="s">
        <v>46</v>
      </c>
    </row>
    <row r="49" customFormat="false" ht="20.25" hidden="false" customHeight="false" outlineLevel="0" collapsed="false">
      <c r="A49" s="254" t="s">
        <v>108</v>
      </c>
      <c r="B49" s="246" t="n">
        <v>23.3</v>
      </c>
      <c r="C49" s="256" t="s">
        <v>46</v>
      </c>
    </row>
    <row r="50" customFormat="false" ht="20.25" hidden="false" customHeight="false" outlineLevel="0" collapsed="false">
      <c r="A50" s="254" t="s">
        <v>58</v>
      </c>
      <c r="B50" s="246" t="n">
        <v>14.6</v>
      </c>
      <c r="C50" s="256" t="s">
        <v>46</v>
      </c>
    </row>
    <row r="51" customFormat="false" ht="20.25" hidden="false" customHeight="false" outlineLevel="0" collapsed="false">
      <c r="A51" s="254" t="s">
        <v>109</v>
      </c>
      <c r="B51" s="246" t="n">
        <v>162.9</v>
      </c>
      <c r="C51" s="256" t="s">
        <v>46</v>
      </c>
    </row>
    <row r="52" customFormat="false" ht="20.25" hidden="false" customHeight="false" outlineLevel="0" collapsed="false">
      <c r="A52" s="254" t="s">
        <v>60</v>
      </c>
      <c r="B52" s="246" t="n">
        <v>49</v>
      </c>
      <c r="C52" s="256" t="s">
        <v>46</v>
      </c>
    </row>
    <row r="53" customFormat="false" ht="20.25" hidden="false" customHeight="false" outlineLevel="0" collapsed="false">
      <c r="A53" s="254" t="s">
        <v>110</v>
      </c>
      <c r="B53" s="246" t="n">
        <v>3.4</v>
      </c>
      <c r="C53" s="256" t="s">
        <v>46</v>
      </c>
    </row>
    <row r="54" customFormat="false" ht="20.25" hidden="false" customHeight="false" outlineLevel="0" collapsed="false">
      <c r="A54" s="254" t="s">
        <v>325</v>
      </c>
      <c r="B54" s="246" t="n">
        <v>76.5</v>
      </c>
      <c r="C54" s="256" t="s">
        <v>46</v>
      </c>
    </row>
    <row r="55" customFormat="false" ht="20.25" hidden="false" customHeight="false" outlineLevel="0" collapsed="false">
      <c r="A55" s="254" t="s">
        <v>111</v>
      </c>
      <c r="B55" s="246" t="n">
        <v>953.4</v>
      </c>
      <c r="C55" s="256" t="s">
        <v>46</v>
      </c>
    </row>
    <row r="56" customFormat="false" ht="20.25" hidden="false" customHeight="false" outlineLevel="0" collapsed="false">
      <c r="A56" s="254" t="s">
        <v>112</v>
      </c>
      <c r="B56" s="246" t="n">
        <v>162.9</v>
      </c>
      <c r="C56" s="256" t="s">
        <v>46</v>
      </c>
    </row>
    <row r="57" customFormat="false" ht="20.25" hidden="false" customHeight="false" outlineLevel="0" collapsed="false">
      <c r="A57" s="254" t="s">
        <v>113</v>
      </c>
      <c r="B57" s="246" t="n">
        <v>9.1</v>
      </c>
      <c r="C57" s="256" t="s">
        <v>46</v>
      </c>
    </row>
    <row r="58" customFormat="false" ht="20.25" hidden="false" customHeight="false" outlineLevel="0" collapsed="false">
      <c r="A58" s="254" t="s">
        <v>74</v>
      </c>
      <c r="B58" s="246" t="n">
        <v>953.4</v>
      </c>
      <c r="C58" s="256" t="s">
        <v>46</v>
      </c>
    </row>
    <row r="59" customFormat="false" ht="20.25" hidden="false" customHeight="false" outlineLevel="0" collapsed="false">
      <c r="A59" s="258" t="s">
        <v>78</v>
      </c>
      <c r="B59" s="266" t="n">
        <v>53.3</v>
      </c>
      <c r="C59" s="261" t="s">
        <v>46</v>
      </c>
    </row>
    <row r="60" customFormat="false" ht="37.5" hidden="false" customHeight="false" outlineLevel="0" collapsed="false">
      <c r="A60" s="263" t="s">
        <v>318</v>
      </c>
      <c r="B60" s="268" t="s">
        <v>320</v>
      </c>
      <c r="C60" s="264"/>
    </row>
    <row r="61" customFormat="false" ht="20.25" hidden="false" customHeight="false" outlineLevel="0" collapsed="false">
      <c r="A61" s="254" t="s">
        <v>85</v>
      </c>
      <c r="B61" s="246" t="n">
        <v>0.00247333333333333</v>
      </c>
      <c r="C61" s="265" t="s">
        <v>86</v>
      </c>
      <c r="E61" s="1" t="n">
        <f aca="false">B61*225000</f>
        <v>556.5</v>
      </c>
    </row>
    <row r="62" customFormat="false" ht="20.25" hidden="false" customHeight="false" outlineLevel="0" collapsed="false">
      <c r="A62" s="254" t="s">
        <v>87</v>
      </c>
      <c r="B62" s="246" t="n">
        <v>0.000262546666666667</v>
      </c>
      <c r="C62" s="265" t="s">
        <v>86</v>
      </c>
      <c r="E62" s="1" t="n">
        <f aca="false">B62*225000</f>
        <v>59.073</v>
      </c>
    </row>
    <row r="63" customFormat="false" ht="20.25" hidden="false" customHeight="false" outlineLevel="0" collapsed="false">
      <c r="A63" s="258" t="s">
        <v>88</v>
      </c>
      <c r="B63" s="266" t="n">
        <v>0.0423733333333333</v>
      </c>
      <c r="C63" s="267" t="s">
        <v>86</v>
      </c>
      <c r="E63" s="1" t="n">
        <f aca="false">B63*225000</f>
        <v>9534</v>
      </c>
    </row>
    <row r="64" customFormat="false" ht="37.5" hidden="false" customHeight="false" outlineLevel="0" collapsed="false">
      <c r="A64" s="263" t="s">
        <v>319</v>
      </c>
      <c r="B64" s="268" t="s">
        <v>320</v>
      </c>
      <c r="C64" s="264"/>
    </row>
    <row r="65" customFormat="false" ht="20.25" hidden="false" customHeight="false" outlineLevel="0" collapsed="false">
      <c r="A65" s="254" t="s">
        <v>115</v>
      </c>
      <c r="B65" s="246" t="n">
        <v>0.26</v>
      </c>
      <c r="C65" s="265" t="s">
        <v>82</v>
      </c>
    </row>
    <row r="66" customFormat="false" ht="20.25" hidden="false" customHeight="false" outlineLevel="0" collapsed="false">
      <c r="A66" s="23" t="s">
        <v>326</v>
      </c>
      <c r="C66" s="265"/>
    </row>
    <row r="67" customFormat="false" ht="20.25" hidden="false" customHeight="false" outlineLevel="0" collapsed="false">
      <c r="A67" s="254" t="s">
        <v>116</v>
      </c>
      <c r="B67" s="246" t="n">
        <v>0.26</v>
      </c>
      <c r="C67" s="265" t="s">
        <v>82</v>
      </c>
    </row>
    <row r="68" customFormat="false" ht="37.5" hidden="false" customHeight="false" outlineLevel="0" collapsed="false">
      <c r="A68" s="275" t="s">
        <v>114</v>
      </c>
      <c r="B68" s="246" t="n">
        <v>0.26</v>
      </c>
      <c r="C68" s="265" t="s">
        <v>82</v>
      </c>
    </row>
    <row r="69" customFormat="false" ht="20.25" hidden="false" customHeight="false" outlineLevel="0" collapsed="false">
      <c r="A69" s="276" t="s">
        <v>117</v>
      </c>
      <c r="B69" s="266" t="n">
        <v>0.26</v>
      </c>
      <c r="C69" s="267" t="s">
        <v>82</v>
      </c>
    </row>
    <row r="70" customFormat="false" ht="20.25" hidden="false" customHeight="false" outlineLevel="0" collapsed="false">
      <c r="A70" s="17" t="s">
        <v>93</v>
      </c>
      <c r="B70" s="277"/>
      <c r="C70" s="278"/>
    </row>
    <row r="71" customFormat="false" ht="20.25" hidden="false" customHeight="false" outlineLevel="0" collapsed="false">
      <c r="A71" s="75" t="s">
        <v>327</v>
      </c>
      <c r="B71" s="246" t="n">
        <v>956.9</v>
      </c>
      <c r="C71" s="256" t="s">
        <v>46</v>
      </c>
    </row>
    <row r="72" customFormat="false" ht="20.25" hidden="false" customHeight="false" outlineLevel="0" collapsed="false">
      <c r="A72" s="279" t="s">
        <v>328</v>
      </c>
      <c r="C72" s="256"/>
    </row>
    <row r="73" customFormat="false" ht="20.25" hidden="false" customHeight="false" outlineLevel="0" collapsed="false">
      <c r="A73" s="75" t="s">
        <v>118</v>
      </c>
      <c r="C73" s="256" t="s">
        <v>46</v>
      </c>
    </row>
    <row r="74" customFormat="false" ht="20.25" hidden="false" customHeight="false" outlineLevel="0" collapsed="false">
      <c r="A74" s="75" t="s">
        <v>119</v>
      </c>
      <c r="C74" s="256" t="s">
        <v>46</v>
      </c>
    </row>
    <row r="75" customFormat="false" ht="20.25" hidden="false" customHeight="false" outlineLevel="0" collapsed="false">
      <c r="A75" s="75" t="s">
        <v>120</v>
      </c>
      <c r="C75" s="256" t="s">
        <v>46</v>
      </c>
    </row>
    <row r="76" customFormat="false" ht="20.25" hidden="false" customHeight="false" outlineLevel="0" collapsed="false">
      <c r="A76" s="75" t="s">
        <v>121</v>
      </c>
      <c r="C76" s="256" t="s">
        <v>46</v>
      </c>
    </row>
    <row r="77" customFormat="false" ht="20.25" hidden="false" customHeight="false" outlineLevel="0" collapsed="false">
      <c r="A77" s="280" t="s">
        <v>322</v>
      </c>
      <c r="B77" s="270"/>
      <c r="C77" s="281" t="s">
        <v>46</v>
      </c>
    </row>
    <row r="78" customFormat="false" ht="20.25" hidden="false" customHeight="false" outlineLevel="0" collapsed="false">
      <c r="A78" s="130"/>
      <c r="B78" s="132"/>
      <c r="C78" s="132"/>
    </row>
    <row r="79" customFormat="false" ht="20.25" hidden="false" customHeight="false" outlineLevel="0" collapsed="false">
      <c r="A79" s="130"/>
      <c r="B79" s="282"/>
      <c r="C79" s="133"/>
    </row>
    <row r="80" customFormat="false" ht="20.25" hidden="false" customHeight="false" outlineLevel="0" collapsed="false">
      <c r="A80" s="130"/>
      <c r="B80" s="282"/>
      <c r="C80" s="133"/>
    </row>
  </sheetData>
  <mergeCells count="1">
    <mergeCell ref="B78:C7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E87AD8AD2D7E04FA9AB4C9431D6D3A2" ma:contentTypeVersion="14" ma:contentTypeDescription="Opret et nyt dokument." ma:contentTypeScope="" ma:versionID="c7e982ea9d285447d7f50d2bdadd5217">
  <xsd:schema xmlns:xsd="http://www.w3.org/2001/XMLSchema" xmlns:xs="http://www.w3.org/2001/XMLSchema" xmlns:p="http://schemas.microsoft.com/office/2006/metadata/properties" xmlns:ns3="fb3f01c3-7657-47ac-91fe-aaf76832b51e" xmlns:ns4="b373e9f6-3e56-409e-a7d5-bfed8f1254e7" targetNamespace="http://schemas.microsoft.com/office/2006/metadata/properties" ma:root="true" ma:fieldsID="0fefb8b609bdb38b54111414d6e5970a" ns3:_="" ns4:_="">
    <xsd:import namespace="fb3f01c3-7657-47ac-91fe-aaf76832b51e"/>
    <xsd:import namespace="b373e9f6-3e56-409e-a7d5-bfed8f1254e7"/>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_activity" minOccurs="0"/>
                <xsd:element ref="ns4:SharedWithUsers" minOccurs="0"/>
                <xsd:element ref="ns4:SharedWithDetails" minOccurs="0"/>
                <xsd:element ref="ns4:SharingHintHash"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3f01c3-7657-47ac-91fe-aaf76832b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73e9f6-3e56-409e-a7d5-bfed8f1254e7"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t med detaljer" ma:internalName="SharedWithDetails" ma:readOnly="true">
      <xsd:simpleType>
        <xsd:restriction base="dms:Note">
          <xsd:maxLength value="255"/>
        </xsd:restriction>
      </xsd:simpleType>
    </xsd:element>
    <xsd:element name="SharingHintHash" ma:index="20" nillable="true" ma:displayName="Hashværdi for deling"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b3f01c3-7657-47ac-91fe-aaf76832b5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B0CE83-61D6-47BE-B0F1-4DB756310A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3f01c3-7657-47ac-91fe-aaf76832b51e"/>
    <ds:schemaRef ds:uri="b373e9f6-3e56-409e-a7d5-bfed8f1254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C00AE5-FB42-481F-9239-6A21331ABDBA}">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fb3f01c3-7657-47ac-91fe-aaf76832b51e"/>
    <ds:schemaRef ds:uri="http://purl.org/dc/terms/"/>
    <ds:schemaRef ds:uri="http://schemas.openxmlformats.org/package/2006/metadata/core-properties"/>
    <ds:schemaRef ds:uri="b373e9f6-3e56-409e-a7d5-bfed8f1254e7"/>
    <ds:schemaRef ds:uri="http://www.w3.org/XML/1998/namespace"/>
    <ds:schemaRef ds:uri="http://purl.org/dc/dcmitype/"/>
  </ds:schemaRefs>
</ds:datastoreItem>
</file>

<file path=customXml/itemProps3.xml><?xml version="1.0" encoding="utf-8"?>
<ds:datastoreItem xmlns:ds="http://schemas.openxmlformats.org/officeDocument/2006/customXml" ds:itemID="{8750315B-0A6B-4949-948D-199B208F13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38</TotalTime>
  <Application>LibreOffice/24.2.7.2$Linux_X86_64 LibreOffice_project/420$Build-2</Application>
  <AppVersion>15.0000</AppVersion>
  <Company>University of Michigan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2018-03-14T16:19:16Z</dcterms:created>
  <dc:creator>Olivier Jolliet</dc:creator>
  <dc:description/>
  <dc:language>en-US</dc:language>
  <cp:lastModifiedBy/>
  <dcterms:modified xsi:type="dcterms:W3CDTF">2025-12-15T10:52:55Z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0x0101001E87AD8AD2D7E04FA9AB4C9431D6D3A2</vt:lpwstr>
  </property>
</Properties>
</file>